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ared/Downloads/Tripleten/Last Days/"/>
    </mc:Choice>
  </mc:AlternateContent>
  <xr:revisionPtr revIDLastSave="0" documentId="13_ncr:1_{455B0652-B54E-944B-BFE1-AE5606363590}" xr6:coauthVersionLast="47" xr6:coauthVersionMax="47" xr10:uidLastSave="{00000000-0000-0000-0000-000000000000}"/>
  <bookViews>
    <workbookView xWindow="0" yWindow="660" windowWidth="29400" windowHeight="18460" activeTab="8" xr2:uid="{00000000-000D-0000-FFFF-FFFF00000000}"/>
  </bookViews>
  <sheets>
    <sheet name="Datos_Completos" sheetId="1" r:id="rId1"/>
    <sheet name="Raw_data" sheetId="8" r:id="rId2"/>
    <sheet name="Resumen Finanzas" sheetId="10" r:id="rId3"/>
    <sheet name="Resumen_Hospitales" sheetId="2" r:id="rId4"/>
    <sheet name="Resumen_Productos" sheetId="3" r:id="rId5"/>
    <sheet name="Resumen_Representantes_Q1" sheetId="4" r:id="rId6"/>
    <sheet name="Contratos_Inactivos" sheetId="5" r:id="rId7"/>
    <sheet name="Resumen_Region_Trimestre" sheetId="6" r:id="rId8"/>
    <sheet name="Dashboard" sheetId="7" r:id="rId9"/>
  </sheets>
  <definedNames>
    <definedName name="REVENUE_PRIVADO">Resumen_Hospitales!$B$3</definedName>
    <definedName name="REVENUE_PUBLICO">Resumen_Hospitales!$B$2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E10" i="5"/>
  <c r="D11" i="5"/>
  <c r="D10" i="5"/>
  <c r="D9" i="5"/>
  <c r="E9" i="5"/>
  <c r="B16" i="10"/>
  <c r="B15" i="10"/>
  <c r="B14" i="10"/>
  <c r="B13" i="10"/>
  <c r="B12" i="10"/>
  <c r="G3" i="4"/>
  <c r="G4" i="4"/>
  <c r="G5" i="4"/>
  <c r="G6" i="4"/>
  <c r="G7" i="4"/>
  <c r="G8" i="4"/>
  <c r="G9" i="4"/>
  <c r="G10" i="4"/>
  <c r="G11" i="4"/>
  <c r="G2" i="4"/>
</calcChain>
</file>

<file path=xl/sharedStrings.xml><?xml version="1.0" encoding="utf-8"?>
<sst xmlns="http://schemas.openxmlformats.org/spreadsheetml/2006/main" count="4973" uniqueCount="683">
  <si>
    <t>transaction_id</t>
  </si>
  <si>
    <t>trimestre</t>
  </si>
  <si>
    <t>region</t>
  </si>
  <si>
    <t>hospital</t>
  </si>
  <si>
    <t>tipo_hospital</t>
  </si>
  <si>
    <t>producto</t>
  </si>
  <si>
    <t>categoria</t>
  </si>
  <si>
    <t>representante</t>
  </si>
  <si>
    <t>unidades</t>
  </si>
  <si>
    <t>precio_base</t>
  </si>
  <si>
    <t>costo_unitario</t>
  </si>
  <si>
    <t>descuento</t>
  </si>
  <si>
    <t>contrato_activo</t>
  </si>
  <si>
    <t>dias_entrega</t>
  </si>
  <si>
    <t>precio_final</t>
  </si>
  <si>
    <t>venta_total</t>
  </si>
  <si>
    <t>costo_total</t>
  </si>
  <si>
    <t>margen_bruto</t>
  </si>
  <si>
    <t>margen_pct</t>
  </si>
  <si>
    <t>comision_pct</t>
  </si>
  <si>
    <t>comision_mxn</t>
  </si>
  <si>
    <t>TXN-0001</t>
  </si>
  <si>
    <t>Q3</t>
  </si>
  <si>
    <t>Monterrey</t>
  </si>
  <si>
    <t>Star Médica</t>
  </si>
  <si>
    <t>Privado</t>
  </si>
  <si>
    <t>Silla de Ruedas Elec.</t>
  </si>
  <si>
    <t>Rehabilitación</t>
  </si>
  <si>
    <t>Rep_10</t>
  </si>
  <si>
    <t>TXN-0002</t>
  </si>
  <si>
    <t>Q1</t>
  </si>
  <si>
    <t>Médica Sur</t>
  </si>
  <si>
    <t>Rep_03</t>
  </si>
  <si>
    <t>TXN-0003</t>
  </si>
  <si>
    <t>Q4</t>
  </si>
  <si>
    <t>CDMX</t>
  </si>
  <si>
    <t>Oxímetro Portátil</t>
  </si>
  <si>
    <t>Diagnóstico</t>
  </si>
  <si>
    <t>Rep_05</t>
  </si>
  <si>
    <t>TXN-0004</t>
  </si>
  <si>
    <t>SEDESA</t>
  </si>
  <si>
    <t>Público</t>
  </si>
  <si>
    <t>Rep_04</t>
  </si>
  <si>
    <t>TXN-0005</t>
  </si>
  <si>
    <t>Puebla</t>
  </si>
  <si>
    <t>Hospital Ángeles</t>
  </si>
  <si>
    <t>Desfibrilador</t>
  </si>
  <si>
    <t>Emergencias</t>
  </si>
  <si>
    <t>Rep_06</t>
  </si>
  <si>
    <t>TXN-0006</t>
  </si>
  <si>
    <t>Guadalajara</t>
  </si>
  <si>
    <t>Electrocardiógrafo</t>
  </si>
  <si>
    <t>Rep_01</t>
  </si>
  <si>
    <t>TXN-0007</t>
  </si>
  <si>
    <t>Q2</t>
  </si>
  <si>
    <t>ISSSTE</t>
  </si>
  <si>
    <t>Ventilador Mecánico</t>
  </si>
  <si>
    <t>Equipo UCI</t>
  </si>
  <si>
    <t>TXN-0008</t>
  </si>
  <si>
    <t>Rep_07</t>
  </si>
  <si>
    <t>TXN-0009</t>
  </si>
  <si>
    <t>TXN-0010</t>
  </si>
  <si>
    <t>Monitor de Signos</t>
  </si>
  <si>
    <t>TXN-0011</t>
  </si>
  <si>
    <t>Rep_08</t>
  </si>
  <si>
    <t>TXN-0012</t>
  </si>
  <si>
    <t>TXN-0013</t>
  </si>
  <si>
    <t>IMSS</t>
  </si>
  <si>
    <t>TXN-0014</t>
  </si>
  <si>
    <t>TXN-0015</t>
  </si>
  <si>
    <t>Rep_09</t>
  </si>
  <si>
    <t>TXN-0016</t>
  </si>
  <si>
    <t>TXN-0017</t>
  </si>
  <si>
    <t>Cama Hospitalaria</t>
  </si>
  <si>
    <t>Mobiliario Clínico</t>
  </si>
  <si>
    <t>Rep_02</t>
  </si>
  <si>
    <t>TXN-0018</t>
  </si>
  <si>
    <t>TXN-0019</t>
  </si>
  <si>
    <t>TXN-0020</t>
  </si>
  <si>
    <t>TXN-0021</t>
  </si>
  <si>
    <t>TXN-0022</t>
  </si>
  <si>
    <t>Bajío</t>
  </si>
  <si>
    <t>TXN-0023</t>
  </si>
  <si>
    <t>Christus Muguerza</t>
  </si>
  <si>
    <t>TXN-0024</t>
  </si>
  <si>
    <t>TXN-0025</t>
  </si>
  <si>
    <t>Bomba de Infusión</t>
  </si>
  <si>
    <t>Medicación IV</t>
  </si>
  <si>
    <t>TXN-0026</t>
  </si>
  <si>
    <t>TXN-0027</t>
  </si>
  <si>
    <t>TXN-0028</t>
  </si>
  <si>
    <t>TXN-0029</t>
  </si>
  <si>
    <t>TXN-0030</t>
  </si>
  <si>
    <t>TXN-0031</t>
  </si>
  <si>
    <t>TXN-0032</t>
  </si>
  <si>
    <t>TXN-0033</t>
  </si>
  <si>
    <t>TXN-0034</t>
  </si>
  <si>
    <t>TXN-0035</t>
  </si>
  <si>
    <t>TXN-0036</t>
  </si>
  <si>
    <t>TXN-0037</t>
  </si>
  <si>
    <t>TXN-0038</t>
  </si>
  <si>
    <t>TXN-0039</t>
  </si>
  <si>
    <t>TXN-0040</t>
  </si>
  <si>
    <t>TXN-0041</t>
  </si>
  <si>
    <t>TXN-0042</t>
  </si>
  <si>
    <t>TXN-0043</t>
  </si>
  <si>
    <t>TXN-0044</t>
  </si>
  <si>
    <t>TXN-0045</t>
  </si>
  <si>
    <t>TXN-0046</t>
  </si>
  <si>
    <t>TXN-0047</t>
  </si>
  <si>
    <t>TXN-0048</t>
  </si>
  <si>
    <t>TXN-0049</t>
  </si>
  <si>
    <t>TXN-0050</t>
  </si>
  <si>
    <t>TXN-0051</t>
  </si>
  <si>
    <t>TXN-0052</t>
  </si>
  <si>
    <t>TXN-0053</t>
  </si>
  <si>
    <t>TXN-0054</t>
  </si>
  <si>
    <t>TXN-0055</t>
  </si>
  <si>
    <t>TXN-0056</t>
  </si>
  <si>
    <t>TXN-0057</t>
  </si>
  <si>
    <t>TXN-0058</t>
  </si>
  <si>
    <t>TXN-0059</t>
  </si>
  <si>
    <t>TXN-0060</t>
  </si>
  <si>
    <t>TXN-0061</t>
  </si>
  <si>
    <t>TXN-0062</t>
  </si>
  <si>
    <t>TXN-0063</t>
  </si>
  <si>
    <t>TXN-0064</t>
  </si>
  <si>
    <t>TXN-0065</t>
  </si>
  <si>
    <t>TXN-0066</t>
  </si>
  <si>
    <t>TXN-0067</t>
  </si>
  <si>
    <t>TXN-0068</t>
  </si>
  <si>
    <t>TXN-0069</t>
  </si>
  <si>
    <t>TXN-0070</t>
  </si>
  <si>
    <t>TXN-0071</t>
  </si>
  <si>
    <t>TXN-0072</t>
  </si>
  <si>
    <t>TXN-0073</t>
  </si>
  <si>
    <t>TXN-0074</t>
  </si>
  <si>
    <t>TXN-0075</t>
  </si>
  <si>
    <t>TXN-0076</t>
  </si>
  <si>
    <t>TXN-0077</t>
  </si>
  <si>
    <t>TXN-0078</t>
  </si>
  <si>
    <t>TXN-0079</t>
  </si>
  <si>
    <t>TXN-0080</t>
  </si>
  <si>
    <t>TXN-0081</t>
  </si>
  <si>
    <t>TXN-0082</t>
  </si>
  <si>
    <t>TXN-0083</t>
  </si>
  <si>
    <t>TXN-0084</t>
  </si>
  <si>
    <t>TXN-0085</t>
  </si>
  <si>
    <t>TXN-0086</t>
  </si>
  <si>
    <t>TXN-0087</t>
  </si>
  <si>
    <t>TXN-0088</t>
  </si>
  <si>
    <t>TXN-0089</t>
  </si>
  <si>
    <t>TXN-0090</t>
  </si>
  <si>
    <t>TXN-0091</t>
  </si>
  <si>
    <t>TXN-0092</t>
  </si>
  <si>
    <t>TXN-0093</t>
  </si>
  <si>
    <t>TXN-0094</t>
  </si>
  <si>
    <t>TXN-0095</t>
  </si>
  <si>
    <t>TXN-0096</t>
  </si>
  <si>
    <t>TXN-0097</t>
  </si>
  <si>
    <t>TXN-0098</t>
  </si>
  <si>
    <t>TXN-0099</t>
  </si>
  <si>
    <t>TXN-0100</t>
  </si>
  <si>
    <t>TXN-0101</t>
  </si>
  <si>
    <t>TXN-0102</t>
  </si>
  <si>
    <t>TXN-0103</t>
  </si>
  <si>
    <t>TXN-0104</t>
  </si>
  <si>
    <t>TXN-0105</t>
  </si>
  <si>
    <t>TXN-0106</t>
  </si>
  <si>
    <t>TXN-0107</t>
  </si>
  <si>
    <t>TXN-0108</t>
  </si>
  <si>
    <t>TXN-0109</t>
  </si>
  <si>
    <t>TXN-0110</t>
  </si>
  <si>
    <t>TXN-0111</t>
  </si>
  <si>
    <t>TXN-0112</t>
  </si>
  <si>
    <t>TXN-0113</t>
  </si>
  <si>
    <t>TXN-0114</t>
  </si>
  <si>
    <t>TXN-0115</t>
  </si>
  <si>
    <t>TXN-0116</t>
  </si>
  <si>
    <t>TXN-0117</t>
  </si>
  <si>
    <t>TXN-0118</t>
  </si>
  <si>
    <t>TXN-0119</t>
  </si>
  <si>
    <t>TXN-0120</t>
  </si>
  <si>
    <t>TXN-0121</t>
  </si>
  <si>
    <t>TXN-0122</t>
  </si>
  <si>
    <t>TXN-0123</t>
  </si>
  <si>
    <t>TXN-0124</t>
  </si>
  <si>
    <t>TXN-0125</t>
  </si>
  <si>
    <t>TXN-0126</t>
  </si>
  <si>
    <t>TXN-0127</t>
  </si>
  <si>
    <t>TXN-0128</t>
  </si>
  <si>
    <t>TXN-0129</t>
  </si>
  <si>
    <t>TXN-0130</t>
  </si>
  <si>
    <t>TXN-0131</t>
  </si>
  <si>
    <t>TXN-0132</t>
  </si>
  <si>
    <t>TXN-0133</t>
  </si>
  <si>
    <t>TXN-0134</t>
  </si>
  <si>
    <t>TXN-0135</t>
  </si>
  <si>
    <t>TXN-0136</t>
  </si>
  <si>
    <t>TXN-0137</t>
  </si>
  <si>
    <t>TXN-0138</t>
  </si>
  <si>
    <t>TXN-0139</t>
  </si>
  <si>
    <t>TXN-0140</t>
  </si>
  <si>
    <t>TXN-0141</t>
  </si>
  <si>
    <t>TXN-0142</t>
  </si>
  <si>
    <t>TXN-0143</t>
  </si>
  <si>
    <t>TXN-0144</t>
  </si>
  <si>
    <t>TXN-0145</t>
  </si>
  <si>
    <t>TXN-0146</t>
  </si>
  <si>
    <t>TXN-0147</t>
  </si>
  <si>
    <t>TXN-0148</t>
  </si>
  <si>
    <t>TXN-0149</t>
  </si>
  <si>
    <t>TXN-0150</t>
  </si>
  <si>
    <t>TXN-0151</t>
  </si>
  <si>
    <t>TXN-0152</t>
  </si>
  <si>
    <t>TXN-0153</t>
  </si>
  <si>
    <t>TXN-0154</t>
  </si>
  <si>
    <t>TXN-0155</t>
  </si>
  <si>
    <t>TXN-0156</t>
  </si>
  <si>
    <t>TXN-0157</t>
  </si>
  <si>
    <t>TXN-0158</t>
  </si>
  <si>
    <t>TXN-0159</t>
  </si>
  <si>
    <t>TXN-0160</t>
  </si>
  <si>
    <t>TXN-0161</t>
  </si>
  <si>
    <t>TXN-0162</t>
  </si>
  <si>
    <t>TXN-0163</t>
  </si>
  <si>
    <t>TXN-0164</t>
  </si>
  <si>
    <t>TXN-0165</t>
  </si>
  <si>
    <t>TXN-0166</t>
  </si>
  <si>
    <t>TXN-0167</t>
  </si>
  <si>
    <t>TXN-0168</t>
  </si>
  <si>
    <t>TXN-0169</t>
  </si>
  <si>
    <t>TXN-0170</t>
  </si>
  <si>
    <t>TXN-0171</t>
  </si>
  <si>
    <t>TXN-0172</t>
  </si>
  <si>
    <t>TXN-0173</t>
  </si>
  <si>
    <t>TXN-0174</t>
  </si>
  <si>
    <t>TXN-0175</t>
  </si>
  <si>
    <t>TXN-0176</t>
  </si>
  <si>
    <t>TXN-0177</t>
  </si>
  <si>
    <t>TXN-0178</t>
  </si>
  <si>
    <t>TXN-0179</t>
  </si>
  <si>
    <t>TXN-0180</t>
  </si>
  <si>
    <t>TXN-0181</t>
  </si>
  <si>
    <t>TXN-0182</t>
  </si>
  <si>
    <t>TXN-0183</t>
  </si>
  <si>
    <t>TXN-0184</t>
  </si>
  <si>
    <t>TXN-0185</t>
  </si>
  <si>
    <t>TXN-0186</t>
  </si>
  <si>
    <t>TXN-0187</t>
  </si>
  <si>
    <t>TXN-0188</t>
  </si>
  <si>
    <t>TXN-0189</t>
  </si>
  <si>
    <t>TXN-0190</t>
  </si>
  <si>
    <t>TXN-0191</t>
  </si>
  <si>
    <t>TXN-0192</t>
  </si>
  <si>
    <t>TXN-0193</t>
  </si>
  <si>
    <t>TXN-0194</t>
  </si>
  <si>
    <t>TXN-0195</t>
  </si>
  <si>
    <t>TXN-0196</t>
  </si>
  <si>
    <t>TXN-0197</t>
  </si>
  <si>
    <t>TXN-0198</t>
  </si>
  <si>
    <t>TXN-0199</t>
  </si>
  <si>
    <t>TXN-0200</t>
  </si>
  <si>
    <t>TXN-0201</t>
  </si>
  <si>
    <t>TXN-0202</t>
  </si>
  <si>
    <t>TXN-0203</t>
  </si>
  <si>
    <t>TXN-0204</t>
  </si>
  <si>
    <t>TXN-0205</t>
  </si>
  <si>
    <t>TXN-0206</t>
  </si>
  <si>
    <t>TXN-0207</t>
  </si>
  <si>
    <t>TXN-0208</t>
  </si>
  <si>
    <t>TXN-0209</t>
  </si>
  <si>
    <t>TXN-0210</t>
  </si>
  <si>
    <t>TXN-0211</t>
  </si>
  <si>
    <t>TXN-0212</t>
  </si>
  <si>
    <t>TXN-0213</t>
  </si>
  <si>
    <t>TXN-0214</t>
  </si>
  <si>
    <t>TXN-0215</t>
  </si>
  <si>
    <t>TXN-0216</t>
  </si>
  <si>
    <t>TXN-0217</t>
  </si>
  <si>
    <t>TXN-0218</t>
  </si>
  <si>
    <t>TXN-0219</t>
  </si>
  <si>
    <t>TXN-0220</t>
  </si>
  <si>
    <t>TXN-0221</t>
  </si>
  <si>
    <t>TXN-0222</t>
  </si>
  <si>
    <t>TXN-0223</t>
  </si>
  <si>
    <t>TXN-0224</t>
  </si>
  <si>
    <t>TXN-0225</t>
  </si>
  <si>
    <t>TXN-0226</t>
  </si>
  <si>
    <t>TXN-0227</t>
  </si>
  <si>
    <t>TXN-0228</t>
  </si>
  <si>
    <t>TXN-0229</t>
  </si>
  <si>
    <t>TXN-0230</t>
  </si>
  <si>
    <t>TXN-0231</t>
  </si>
  <si>
    <t>TXN-0232</t>
  </si>
  <si>
    <t>TXN-0233</t>
  </si>
  <si>
    <t>TXN-0234</t>
  </si>
  <si>
    <t>TXN-0235</t>
  </si>
  <si>
    <t>TXN-0236</t>
  </si>
  <si>
    <t>TXN-0237</t>
  </si>
  <si>
    <t>TXN-0238</t>
  </si>
  <si>
    <t>TXN-0239</t>
  </si>
  <si>
    <t>TXN-0240</t>
  </si>
  <si>
    <t>TXN-0241</t>
  </si>
  <si>
    <t>TXN-0242</t>
  </si>
  <si>
    <t>TXN-0243</t>
  </si>
  <si>
    <t>TXN-0244</t>
  </si>
  <si>
    <t>TXN-0245</t>
  </si>
  <si>
    <t>TXN-0246</t>
  </si>
  <si>
    <t>TXN-0247</t>
  </si>
  <si>
    <t>TXN-0248</t>
  </si>
  <si>
    <t>TXN-0249</t>
  </si>
  <si>
    <t>TXN-0250</t>
  </si>
  <si>
    <t>TXN-0251</t>
  </si>
  <si>
    <t>TXN-0252</t>
  </si>
  <si>
    <t>TXN-0253</t>
  </si>
  <si>
    <t>TXN-0254</t>
  </si>
  <si>
    <t>TXN-0255</t>
  </si>
  <si>
    <t>TXN-0256</t>
  </si>
  <si>
    <t>TXN-0257</t>
  </si>
  <si>
    <t>TXN-0258</t>
  </si>
  <si>
    <t>TXN-0259</t>
  </si>
  <si>
    <t>TXN-0260</t>
  </si>
  <si>
    <t>TXN-0261</t>
  </si>
  <si>
    <t>TXN-0262</t>
  </si>
  <si>
    <t>TXN-0263</t>
  </si>
  <si>
    <t>TXN-0264</t>
  </si>
  <si>
    <t>TXN-0265</t>
  </si>
  <si>
    <t>TXN-0266</t>
  </si>
  <si>
    <t>TXN-0267</t>
  </si>
  <si>
    <t>TXN-0268</t>
  </si>
  <si>
    <t>TXN-0269</t>
  </si>
  <si>
    <t>TXN-0270</t>
  </si>
  <si>
    <t>TXN-0271</t>
  </si>
  <si>
    <t>TXN-0272</t>
  </si>
  <si>
    <t>TXN-0273</t>
  </si>
  <si>
    <t>TXN-0274</t>
  </si>
  <si>
    <t>TXN-0275</t>
  </si>
  <si>
    <t>TXN-0276</t>
  </si>
  <si>
    <t>TXN-0277</t>
  </si>
  <si>
    <t>TXN-0278</t>
  </si>
  <si>
    <t>TXN-0279</t>
  </si>
  <si>
    <t>TXN-0280</t>
  </si>
  <si>
    <t>TXN-0281</t>
  </si>
  <si>
    <t>TXN-0282</t>
  </si>
  <si>
    <t>TXN-0283</t>
  </si>
  <si>
    <t>TXN-0284</t>
  </si>
  <si>
    <t>TXN-0285</t>
  </si>
  <si>
    <t>TXN-0286</t>
  </si>
  <si>
    <t>TXN-0287</t>
  </si>
  <si>
    <t>TXN-0288</t>
  </si>
  <si>
    <t>TXN-0289</t>
  </si>
  <si>
    <t>TXN-0290</t>
  </si>
  <si>
    <t>TXN-0291</t>
  </si>
  <si>
    <t>TXN-0292</t>
  </si>
  <si>
    <t>TXN-0293</t>
  </si>
  <si>
    <t>TXN-0294</t>
  </si>
  <si>
    <t>TXN-0295</t>
  </si>
  <si>
    <t>TXN-0296</t>
  </si>
  <si>
    <t>TXN-0297</t>
  </si>
  <si>
    <t>TXN-0298</t>
  </si>
  <si>
    <t>TXN-0299</t>
  </si>
  <si>
    <t>TXN-0300</t>
  </si>
  <si>
    <t>TXN-0301</t>
  </si>
  <si>
    <t>TXN-0302</t>
  </si>
  <si>
    <t>TXN-0303</t>
  </si>
  <si>
    <t>TXN-0304</t>
  </si>
  <si>
    <t>TXN-0305</t>
  </si>
  <si>
    <t>TXN-0306</t>
  </si>
  <si>
    <t>TXN-0307</t>
  </si>
  <si>
    <t>TXN-0308</t>
  </si>
  <si>
    <t>TXN-0309</t>
  </si>
  <si>
    <t>TXN-0310</t>
  </si>
  <si>
    <t>TXN-0311</t>
  </si>
  <si>
    <t>TXN-0312</t>
  </si>
  <si>
    <t>TXN-0313</t>
  </si>
  <si>
    <t>TXN-0314</t>
  </si>
  <si>
    <t>TXN-0315</t>
  </si>
  <si>
    <t>TXN-0316</t>
  </si>
  <si>
    <t>TXN-0317</t>
  </si>
  <si>
    <t>TXN-0318</t>
  </si>
  <si>
    <t>TXN-0319</t>
  </si>
  <si>
    <t>TXN-0320</t>
  </si>
  <si>
    <t>TXN-0321</t>
  </si>
  <si>
    <t>TXN-0322</t>
  </si>
  <si>
    <t>TXN-0323</t>
  </si>
  <si>
    <t>TXN-0324</t>
  </si>
  <si>
    <t>TXN-0325</t>
  </si>
  <si>
    <t>TXN-0326</t>
  </si>
  <si>
    <t>TXN-0327</t>
  </si>
  <si>
    <t>TXN-0328</t>
  </si>
  <si>
    <t>TXN-0329</t>
  </si>
  <si>
    <t>TXN-0330</t>
  </si>
  <si>
    <t>TXN-0331</t>
  </si>
  <si>
    <t>TXN-0332</t>
  </si>
  <si>
    <t>TXN-0333</t>
  </si>
  <si>
    <t>TXN-0334</t>
  </si>
  <si>
    <t>TXN-0335</t>
  </si>
  <si>
    <t>TXN-0336</t>
  </si>
  <si>
    <t>TXN-0337</t>
  </si>
  <si>
    <t>TXN-0338</t>
  </si>
  <si>
    <t>TXN-0339</t>
  </si>
  <si>
    <t>TXN-0340</t>
  </si>
  <si>
    <t>TXN-0341</t>
  </si>
  <si>
    <t>TXN-0342</t>
  </si>
  <si>
    <t>TXN-0343</t>
  </si>
  <si>
    <t>TXN-0344</t>
  </si>
  <si>
    <t>TXN-0345</t>
  </si>
  <si>
    <t>TXN-0346</t>
  </si>
  <si>
    <t>TXN-0347</t>
  </si>
  <si>
    <t>TXN-0348</t>
  </si>
  <si>
    <t>TXN-0349</t>
  </si>
  <si>
    <t>TXN-0350</t>
  </si>
  <si>
    <t>TXN-0351</t>
  </si>
  <si>
    <t>TXN-0352</t>
  </si>
  <si>
    <t>TXN-0353</t>
  </si>
  <si>
    <t>TXN-0354</t>
  </si>
  <si>
    <t>TXN-0355</t>
  </si>
  <si>
    <t>TXN-0356</t>
  </si>
  <si>
    <t>TXN-0357</t>
  </si>
  <si>
    <t>TXN-0358</t>
  </si>
  <si>
    <t>TXN-0359</t>
  </si>
  <si>
    <t>TXN-0360</t>
  </si>
  <si>
    <t>TXN-0361</t>
  </si>
  <si>
    <t>TXN-0362</t>
  </si>
  <si>
    <t>TXN-0363</t>
  </si>
  <si>
    <t>TXN-0364</t>
  </si>
  <si>
    <t>TXN-0365</t>
  </si>
  <si>
    <t>TXN-0366</t>
  </si>
  <si>
    <t>TXN-0367</t>
  </si>
  <si>
    <t>TXN-0368</t>
  </si>
  <si>
    <t>TXN-0369</t>
  </si>
  <si>
    <t>TXN-0370</t>
  </si>
  <si>
    <t>TXN-0371</t>
  </si>
  <si>
    <t>TXN-0372</t>
  </si>
  <si>
    <t>TXN-0373</t>
  </si>
  <si>
    <t>TXN-0374</t>
  </si>
  <si>
    <t>TXN-0375</t>
  </si>
  <si>
    <t>TXN-0376</t>
  </si>
  <si>
    <t>TXN-0377</t>
  </si>
  <si>
    <t>TXN-0378</t>
  </si>
  <si>
    <t>TXN-0379</t>
  </si>
  <si>
    <t>TXN-0380</t>
  </si>
  <si>
    <t>TXN-0381</t>
  </si>
  <si>
    <t>TXN-0382</t>
  </si>
  <si>
    <t>TXN-0383</t>
  </si>
  <si>
    <t>TXN-0384</t>
  </si>
  <si>
    <t>TXN-0385</t>
  </si>
  <si>
    <t>TXN-0386</t>
  </si>
  <si>
    <t>TXN-0387</t>
  </si>
  <si>
    <t>TXN-0388</t>
  </si>
  <si>
    <t>TXN-0389</t>
  </si>
  <si>
    <t>TXN-0390</t>
  </si>
  <si>
    <t>TXN-0391</t>
  </si>
  <si>
    <t>TXN-0392</t>
  </si>
  <si>
    <t>TXN-0393</t>
  </si>
  <si>
    <t>TXN-0394</t>
  </si>
  <si>
    <t>TXN-0395</t>
  </si>
  <si>
    <t>TXN-0396</t>
  </si>
  <si>
    <t>TXN-0397</t>
  </si>
  <si>
    <t>TXN-0398</t>
  </si>
  <si>
    <t>TXN-0399</t>
  </si>
  <si>
    <t>TXN-0400</t>
  </si>
  <si>
    <t>TXN-0401</t>
  </si>
  <si>
    <t>TXN-0402</t>
  </si>
  <si>
    <t>TXN-0403</t>
  </si>
  <si>
    <t>TXN-0404</t>
  </si>
  <si>
    <t>TXN-0405</t>
  </si>
  <si>
    <t>TXN-0406</t>
  </si>
  <si>
    <t>TXN-0407</t>
  </si>
  <si>
    <t>TXN-0408</t>
  </si>
  <si>
    <t>TXN-0409</t>
  </si>
  <si>
    <t>TXN-0410</t>
  </si>
  <si>
    <t>TXN-0411</t>
  </si>
  <si>
    <t>TXN-0412</t>
  </si>
  <si>
    <t>TXN-0413</t>
  </si>
  <si>
    <t>TXN-0414</t>
  </si>
  <si>
    <t>TXN-0415</t>
  </si>
  <si>
    <t>TXN-0416</t>
  </si>
  <si>
    <t>TXN-0417</t>
  </si>
  <si>
    <t>TXN-0418</t>
  </si>
  <si>
    <t>TXN-0419</t>
  </si>
  <si>
    <t>TXN-0420</t>
  </si>
  <si>
    <t>TXN-0421</t>
  </si>
  <si>
    <t>TXN-0422</t>
  </si>
  <si>
    <t>TXN-0423</t>
  </si>
  <si>
    <t>TXN-0424</t>
  </si>
  <si>
    <t>TXN-0425</t>
  </si>
  <si>
    <t>TXN-0426</t>
  </si>
  <si>
    <t>TXN-0427</t>
  </si>
  <si>
    <t>TXN-0428</t>
  </si>
  <si>
    <t>TXN-0429</t>
  </si>
  <si>
    <t>TXN-0430</t>
  </si>
  <si>
    <t>TXN-0431</t>
  </si>
  <si>
    <t>TXN-0432</t>
  </si>
  <si>
    <t>TXN-0433</t>
  </si>
  <si>
    <t>TXN-0434</t>
  </si>
  <si>
    <t>TXN-0435</t>
  </si>
  <si>
    <t>TXN-0436</t>
  </si>
  <si>
    <t>TXN-0437</t>
  </si>
  <si>
    <t>TXN-0438</t>
  </si>
  <si>
    <t>TXN-0439</t>
  </si>
  <si>
    <t>TXN-0440</t>
  </si>
  <si>
    <t>TXN-0441</t>
  </si>
  <si>
    <t>TXN-0442</t>
  </si>
  <si>
    <t>TXN-0443</t>
  </si>
  <si>
    <t>TXN-0444</t>
  </si>
  <si>
    <t>TXN-0445</t>
  </si>
  <si>
    <t>TXN-0446</t>
  </si>
  <si>
    <t>TXN-0447</t>
  </si>
  <si>
    <t>TXN-0448</t>
  </si>
  <si>
    <t>TXN-0449</t>
  </si>
  <si>
    <t>TXN-0450</t>
  </si>
  <si>
    <t>TXN-0451</t>
  </si>
  <si>
    <t>TXN-0452</t>
  </si>
  <si>
    <t>TXN-0453</t>
  </si>
  <si>
    <t>TXN-0454</t>
  </si>
  <si>
    <t>TXN-0455</t>
  </si>
  <si>
    <t>TXN-0456</t>
  </si>
  <si>
    <t>TXN-0457</t>
  </si>
  <si>
    <t>TXN-0458</t>
  </si>
  <si>
    <t>TXN-0459</t>
  </si>
  <si>
    <t>TXN-0460</t>
  </si>
  <si>
    <t>TXN-0461</t>
  </si>
  <si>
    <t>TXN-0462</t>
  </si>
  <si>
    <t>TXN-0463</t>
  </si>
  <si>
    <t>TXN-0464</t>
  </si>
  <si>
    <t>TXN-0465</t>
  </si>
  <si>
    <t>TXN-0466</t>
  </si>
  <si>
    <t>TXN-0467</t>
  </si>
  <si>
    <t>TXN-0468</t>
  </si>
  <si>
    <t>TXN-0469</t>
  </si>
  <si>
    <t>TXN-0470</t>
  </si>
  <si>
    <t>TXN-0471</t>
  </si>
  <si>
    <t>TXN-0472</t>
  </si>
  <si>
    <t>TXN-0473</t>
  </si>
  <si>
    <t>TXN-0474</t>
  </si>
  <si>
    <t>TXN-0475</t>
  </si>
  <si>
    <t>TXN-0476</t>
  </si>
  <si>
    <t>TXN-0477</t>
  </si>
  <si>
    <t>TXN-0478</t>
  </si>
  <si>
    <t>TXN-0479</t>
  </si>
  <si>
    <t>TXN-0480</t>
  </si>
  <si>
    <t>TXN-0481</t>
  </si>
  <si>
    <t>TXN-0482</t>
  </si>
  <si>
    <t>TXN-0483</t>
  </si>
  <si>
    <t>TXN-0484</t>
  </si>
  <si>
    <t>TXN-0485</t>
  </si>
  <si>
    <t>TXN-0486</t>
  </si>
  <si>
    <t>TXN-0487</t>
  </si>
  <si>
    <t>TXN-0488</t>
  </si>
  <si>
    <t>TXN-0489</t>
  </si>
  <si>
    <t>TXN-0490</t>
  </si>
  <si>
    <t>TXN-0491</t>
  </si>
  <si>
    <t>TXN-0492</t>
  </si>
  <si>
    <t>TXN-0493</t>
  </si>
  <si>
    <t>TXN-0494</t>
  </si>
  <si>
    <t>TXN-0495</t>
  </si>
  <si>
    <t>TXN-0496</t>
  </si>
  <si>
    <t>TXN-0497</t>
  </si>
  <si>
    <t>TXN-0498</t>
  </si>
  <si>
    <t>TXN-0499</t>
  </si>
  <si>
    <t>TXN-0500</t>
  </si>
  <si>
    <t>TXN-0501</t>
  </si>
  <si>
    <t>TXN-0502</t>
  </si>
  <si>
    <t>TXN-0503</t>
  </si>
  <si>
    <t>TXN-0504</t>
  </si>
  <si>
    <t>TXN-0505</t>
  </si>
  <si>
    <t>TXN-0506</t>
  </si>
  <si>
    <t>TXN-0507</t>
  </si>
  <si>
    <t>TXN-0508</t>
  </si>
  <si>
    <t>TXN-0509</t>
  </si>
  <si>
    <t>TXN-0510</t>
  </si>
  <si>
    <t>TXN-0511</t>
  </si>
  <si>
    <t>TXN-0512</t>
  </si>
  <si>
    <t>TXN-0513</t>
  </si>
  <si>
    <t>TXN-0514</t>
  </si>
  <si>
    <t>TXN-0515</t>
  </si>
  <si>
    <t>TXN-0516</t>
  </si>
  <si>
    <t>TXN-0517</t>
  </si>
  <si>
    <t>TXN-0518</t>
  </si>
  <si>
    <t>TXN-0519</t>
  </si>
  <si>
    <t>TXN-0520</t>
  </si>
  <si>
    <t>TXN-0521</t>
  </si>
  <si>
    <t>TXN-0522</t>
  </si>
  <si>
    <t>TXN-0523</t>
  </si>
  <si>
    <t>TXN-0524</t>
  </si>
  <si>
    <t>TXN-0525</t>
  </si>
  <si>
    <t>TXN-0526</t>
  </si>
  <si>
    <t>TXN-0527</t>
  </si>
  <si>
    <t>TXN-0528</t>
  </si>
  <si>
    <t>TXN-0529</t>
  </si>
  <si>
    <t>TXN-0530</t>
  </si>
  <si>
    <t>TXN-0531</t>
  </si>
  <si>
    <t>TXN-0532</t>
  </si>
  <si>
    <t>TXN-0533</t>
  </si>
  <si>
    <t>TXN-0534</t>
  </si>
  <si>
    <t>TXN-0535</t>
  </si>
  <si>
    <t>TXN-0536</t>
  </si>
  <si>
    <t>TXN-0537</t>
  </si>
  <si>
    <t>TXN-0538</t>
  </si>
  <si>
    <t>TXN-0539</t>
  </si>
  <si>
    <t>TXN-0540</t>
  </si>
  <si>
    <t>TXN-0541</t>
  </si>
  <si>
    <t>TXN-0542</t>
  </si>
  <si>
    <t>TXN-0543</t>
  </si>
  <si>
    <t>TXN-0544</t>
  </si>
  <si>
    <t>TXN-0545</t>
  </si>
  <si>
    <t>TXN-0546</t>
  </si>
  <si>
    <t>TXN-0547</t>
  </si>
  <si>
    <t>TXN-0548</t>
  </si>
  <si>
    <t>TXN-0549</t>
  </si>
  <si>
    <t>TXN-0550</t>
  </si>
  <si>
    <t>TXN-0551</t>
  </si>
  <si>
    <t>TXN-0552</t>
  </si>
  <si>
    <t>TXN-0553</t>
  </si>
  <si>
    <t>TXN-0554</t>
  </si>
  <si>
    <t>TXN-0555</t>
  </si>
  <si>
    <t>TXN-0556</t>
  </si>
  <si>
    <t>TXN-0557</t>
  </si>
  <si>
    <t>TXN-0558</t>
  </si>
  <si>
    <t>TXN-0559</t>
  </si>
  <si>
    <t>TXN-0560</t>
  </si>
  <si>
    <t>TXN-0561</t>
  </si>
  <si>
    <t>TXN-0562</t>
  </si>
  <si>
    <t>TXN-0563</t>
  </si>
  <si>
    <t>TXN-0564</t>
  </si>
  <si>
    <t>TXN-0565</t>
  </si>
  <si>
    <t>TXN-0566</t>
  </si>
  <si>
    <t>TXN-0567</t>
  </si>
  <si>
    <t>TXN-0568</t>
  </si>
  <si>
    <t>TXN-0569</t>
  </si>
  <si>
    <t>TXN-0570</t>
  </si>
  <si>
    <t>TXN-0571</t>
  </si>
  <si>
    <t>TXN-0572</t>
  </si>
  <si>
    <t>TXN-0573</t>
  </si>
  <si>
    <t>TXN-0574</t>
  </si>
  <si>
    <t>TXN-0575</t>
  </si>
  <si>
    <t>TXN-0576</t>
  </si>
  <si>
    <t>TXN-0577</t>
  </si>
  <si>
    <t>TXN-0578</t>
  </si>
  <si>
    <t>TXN-0579</t>
  </si>
  <si>
    <t>TXN-0580</t>
  </si>
  <si>
    <t>TXN-0581</t>
  </si>
  <si>
    <t>TXN-0582</t>
  </si>
  <si>
    <t>TXN-0583</t>
  </si>
  <si>
    <t>TXN-0584</t>
  </si>
  <si>
    <t>TXN-0585</t>
  </si>
  <si>
    <t>TXN-0586</t>
  </si>
  <si>
    <t>TXN-0587</t>
  </si>
  <si>
    <t>TXN-0588</t>
  </si>
  <si>
    <t>TXN-0589</t>
  </si>
  <si>
    <t>TXN-0590</t>
  </si>
  <si>
    <t>TXN-0591</t>
  </si>
  <si>
    <t>TXN-0592</t>
  </si>
  <si>
    <t>TXN-0593</t>
  </si>
  <si>
    <t>TXN-0594</t>
  </si>
  <si>
    <t>TXN-0595</t>
  </si>
  <si>
    <t>TXN-0596</t>
  </si>
  <si>
    <t>TXN-0597</t>
  </si>
  <si>
    <t>TXN-0598</t>
  </si>
  <si>
    <t>TXN-0599</t>
  </si>
  <si>
    <t>TXN-0600</t>
  </si>
  <si>
    <t>total_revenues</t>
  </si>
  <si>
    <t>num_transactions</t>
  </si>
  <si>
    <t>average_margin</t>
  </si>
  <si>
    <t>total_comission</t>
  </si>
  <si>
    <t>total_units</t>
  </si>
  <si>
    <t>margin_rank</t>
  </si>
  <si>
    <t>num_ventas</t>
  </si>
  <si>
    <t>commission_rank</t>
  </si>
  <si>
    <t>Suma de venta_total</t>
  </si>
  <si>
    <t>Etiquetas de fila</t>
  </si>
  <si>
    <t>Total general</t>
  </si>
  <si>
    <t>Etiquetas de columna</t>
  </si>
  <si>
    <t>Categoria</t>
  </si>
  <si>
    <t>Promedio de margen_pct</t>
  </si>
  <si>
    <t>Contratos Activos</t>
  </si>
  <si>
    <t>Contratos Inactico</t>
  </si>
  <si>
    <t>Revenue Privado</t>
  </si>
  <si>
    <t>Revenue Publico</t>
  </si>
  <si>
    <t>% de Contratos Activos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</si>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</sst>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44" fontId="0" fillId="2" borderId="0" xfId="1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2" fontId="0" fillId="2" borderId="3" xfId="0" applyNumberFormat="1" applyFill="1" applyBorder="1"/>
    <xf numFmtId="0" fontId="0" fillId="2" borderId="4" xfId="0" applyFill="1" applyBorder="1" applyAlignment="1">
      <alignment horizontal="left"/>
    </xf>
    <xf numFmtId="2" fontId="0" fillId="2" borderId="4" xfId="0" applyNumberFormat="1" applyFill="1" applyBorder="1"/>
    <xf numFmtId="0" fontId="0" fillId="2" borderId="2" xfId="0" applyFill="1" applyBorder="1" applyAlignment="1">
      <alignment horizontal="left"/>
    </xf>
    <xf numFmtId="44" fontId="0" fillId="2" borderId="2" xfId="1" applyFont="1" applyFill="1" applyBorder="1"/>
    <xf numFmtId="44" fontId="0" fillId="2" borderId="3" xfId="1" applyFont="1" applyFill="1" applyBorder="1"/>
    <xf numFmtId="0" fontId="0" fillId="2" borderId="3" xfId="0" applyFill="1" applyBorder="1"/>
    <xf numFmtId="0" fontId="0" fillId="2" borderId="4" xfId="0" applyFill="1" applyBorder="1"/>
    <xf numFmtId="0" fontId="1" fillId="0" borderId="5" xfId="0" applyFont="1" applyBorder="1" applyAlignment="1">
      <alignment horizontal="center" vertical="top"/>
    </xf>
    <xf numFmtId="0" fontId="0" fillId="0" borderId="8" xfId="0" applyBorder="1"/>
    <xf numFmtId="0" fontId="0" fillId="0" borderId="1" xfId="0" applyBorder="1"/>
    <xf numFmtId="44" fontId="0" fillId="0" borderId="9" xfId="1" applyFont="1" applyBorder="1"/>
    <xf numFmtId="0" fontId="0" fillId="0" borderId="10" xfId="0" applyBorder="1"/>
    <xf numFmtId="0" fontId="0" fillId="0" borderId="11" xfId="0" applyBorder="1"/>
    <xf numFmtId="44" fontId="0" fillId="0" borderId="12" xfId="1" applyFont="1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44" fontId="0" fillId="0" borderId="7" xfId="1" applyFont="1" applyBorder="1"/>
    <xf numFmtId="44" fontId="0" fillId="0" borderId="7" xfId="0" applyNumberFormat="1" applyBorder="1"/>
    <xf numFmtId="0" fontId="0" fillId="0" borderId="17" xfId="0" applyBorder="1"/>
    <xf numFmtId="0" fontId="0" fillId="0" borderId="9" xfId="0" applyBorder="1"/>
    <xf numFmtId="0" fontId="0" fillId="0" borderId="1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44" fontId="0" fillId="0" borderId="1" xfId="1" applyFont="1" applyBorder="1"/>
    <xf numFmtId="44" fontId="0" fillId="0" borderId="11" xfId="1" applyFont="1" applyBorder="1"/>
    <xf numFmtId="44" fontId="0" fillId="0" borderId="19" xfId="1" applyFont="1" applyBorder="1"/>
  </cellXfs>
  <cellStyles count="2">
    <cellStyle name="Moneda" xfId="1" builtinId="4"/>
    <cellStyle name="Normal" xfId="0" builtinId="0"/>
  </cellStyles>
  <dxfs count="64"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n">
          <color auto="1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n">
          <color auto="1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alignment horizontal="center"/>
    </dxf>
    <dxf>
      <alignment horizontal="center"/>
    </dxf>
    <dxf>
      <numFmt numFmtId="164" formatCode="_-[$$-80A]* #,##0.00_-;\-[$$-80A]* #,##0.00_-;_-[$$-80A]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18</xdr:col>
      <xdr:colOff>292100</xdr:colOff>
      <xdr:row>5</xdr:row>
      <xdr:rowOff>63499</xdr:rowOff>
    </xdr:from>
    <xdr:to>
      <xdr:col>24</xdr:col>
      <xdr:colOff>246944</xdr:colOff>
      <xdr:row>34</xdr:row>
      <xdr:rowOff>23518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64B8014-7391-CC63-8E73-4F019F15A0F1}"/>
            </a:ext>
          </a:extLst>
        </xdr:cNvPr>
        <xdr:cNvSpPr txBox="1"/>
      </xdr:nvSpPr>
      <xdr:spPr>
        <a:xfrm>
          <a:off x="12357100" y="1004240"/>
          <a:ext cx="3976511" cy="54163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200" b="1"/>
            <a:t>Public vs Private hospitals — which generates more revenue and which is more profitable? Are they the same? </a:t>
          </a:r>
          <a:r>
            <a:rPr lang="es-MX"/>
            <a:t>The Public hospital generates more revenue, with 116.3 millions of mexican pesos,however</a:t>
          </a:r>
          <a:r>
            <a:rPr lang="es-MX" baseline="0"/>
            <a:t> the privade hospitals generate more profit, because it have a 37.23% of  average margin, 5 points more than the public hospitale.</a:t>
          </a:r>
        </a:p>
        <a:p>
          <a:endParaRPr lang="es-MX"/>
        </a:p>
        <a:p>
          <a:r>
            <a:rPr lang="es-MX" sz="1200" b="1"/>
            <a:t>Which product has the best margin %? Should the sales team push it even if volume is low? </a:t>
          </a:r>
        </a:p>
        <a:p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Equipmet-heavy prducts(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ventilator, hospital bed, and defibrillator, show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strongest margin around 35%Suggesting the sales team should prioritize high-ticket medical equipment over diagnostic accesories</a:t>
          </a:r>
          <a:endParaRPr lang="es-MX"/>
        </a:p>
        <a:p>
          <a:r>
            <a:rPr lang="es-MX" sz="1200" b="1"/>
            <a:t>Looking at Q1 commissions — is there a big gap between top and bottom performers? </a:t>
          </a:r>
          <a:r>
            <a:rPr lang="es-MX"/>
            <a:t>We can</a:t>
          </a:r>
          <a:r>
            <a:rPr lang="es-MX" baseline="0"/>
            <a:t> see that the top 3 Q1 comissions are between almost 4 and 3 times as much than the last 4 of the top 10.</a:t>
          </a:r>
          <a:endParaRPr lang="es-MX"/>
        </a:p>
        <a:p>
          <a:endParaRPr lang="es-MX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200" b="1"/>
            <a:t>How much revenue is at risk from inactive contracts? What's your recommendation? </a:t>
          </a:r>
          <a:r>
            <a:rPr lang="es-MX" sz="1200" b="0"/>
            <a:t>54</a:t>
          </a:r>
          <a:r>
            <a:rPr lang="es-MX" sz="1200" b="0" baseline="0"/>
            <a:t> Millions of mexican pesos are in potencial revenue is at risk from 156 inactive contracts.Recomendation:Prioritize reactivating public hospital contracts first since they represents higher volume, and assign the top 3 sales rep to those accounts given their proven perfomance.</a:t>
          </a:r>
          <a:endParaRPr lang="es-MX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ed Castle" refreshedDate="46134.573464930552" createdVersion="8" refreshedVersion="8" minRefreshableVersion="3" recordCount="600" xr:uid="{9DF2D41C-6A31-C24F-BACF-27D742F970F2}">
  <cacheSource type="worksheet">
    <worksheetSource ref="A1:U601" sheet="Datos_Completos"/>
  </cacheSource>
  <cacheFields count="21">
    <cacheField name="transaction_id" numFmtId="0">
      <sharedItems/>
    </cacheField>
    <cacheField name="trimestre" numFmtId="0">
      <sharedItems count="4">
        <s v="Q3"/>
        <s v="Q1"/>
        <s v="Q4"/>
        <s v="Q2"/>
      </sharedItems>
    </cacheField>
    <cacheField name="region" numFmtId="0">
      <sharedItems count="5">
        <s v="Monterrey"/>
        <s v="CDMX"/>
        <s v="Puebla"/>
        <s v="Guadalajara"/>
        <s v="Bajío"/>
      </sharedItems>
    </cacheField>
    <cacheField name="hospital" numFmtId="0">
      <sharedItems count="7">
        <s v="Star Médica"/>
        <s v="Médica Sur"/>
        <s v="SEDESA"/>
        <s v="Hospital Ángeles"/>
        <s v="ISSSTE"/>
        <s v="IMSS"/>
        <s v="Christus Muguerza"/>
      </sharedItems>
    </cacheField>
    <cacheField name="tipo_hospital" numFmtId="0">
      <sharedItems/>
    </cacheField>
    <cacheField name="producto" numFmtId="0">
      <sharedItems/>
    </cacheField>
    <cacheField name="categoria" numFmtId="0">
      <sharedItems/>
    </cacheField>
    <cacheField name="representante" numFmtId="0">
      <sharedItems/>
    </cacheField>
    <cacheField name="unidades" numFmtId="0">
      <sharedItems containsSemiMixedTypes="0" containsString="0" containsNumber="1" containsInteger="1" minValue="1" maxValue="14"/>
    </cacheField>
    <cacheField name="precio_base" numFmtId="0">
      <sharedItems containsSemiMixedTypes="0" containsString="0" containsNumber="1" containsInteger="1" minValue="8500" maxValue="180000"/>
    </cacheField>
    <cacheField name="costo_unitario" numFmtId="0">
      <sharedItems containsSemiMixedTypes="0" containsString="0" containsNumber="1" containsInteger="1" minValue="5100" maxValue="108000"/>
    </cacheField>
    <cacheField name="descuento" numFmtId="0">
      <sharedItems containsSemiMixedTypes="0" containsString="0" containsNumber="1" minValue="0" maxValue="0.21099999999999999"/>
    </cacheField>
    <cacheField name="contrato_activo" numFmtId="0">
      <sharedItems containsSemiMixedTypes="0" containsString="0" containsNumber="1" containsInteger="1" minValue="0" maxValue="1" count="2">
        <n v="1"/>
        <n v="0"/>
      </sharedItems>
    </cacheField>
    <cacheField name="dias_entrega" numFmtId="0">
      <sharedItems containsSemiMixedTypes="0" containsString="0" containsNumber="1" containsInteger="1" minValue="3" maxValue="44"/>
    </cacheField>
    <cacheField name="precio_final" numFmtId="0">
      <sharedItems containsSemiMixedTypes="0" containsString="0" containsNumber="1" minValue="6902" maxValue="180000"/>
    </cacheField>
    <cacheField name="venta_total" numFmtId="0">
      <sharedItems containsSemiMixedTypes="0" containsString="0" containsNumber="1" minValue="7344" maxValue="2343600"/>
    </cacheField>
    <cacheField name="costo_total" numFmtId="0">
      <sharedItems containsSemiMixedTypes="0" containsString="0" containsNumber="1" containsInteger="1" minValue="5100" maxValue="1512000"/>
    </cacheField>
    <cacheField name="margen_bruto" numFmtId="0">
      <sharedItems containsSemiMixedTypes="0" containsString="0" containsNumber="1" minValue="2244" maxValue="863460"/>
    </cacheField>
    <cacheField name="margen_pct" numFmtId="0">
      <sharedItems containsSemiMixedTypes="0" containsString="0" containsNumber="1" minValue="24" maxValue="40"/>
    </cacheField>
    <cacheField name="comision_pct" numFmtId="0">
      <sharedItems containsSemiMixedTypes="0" containsString="0" containsNumber="1" minValue="2.5000000000000001E-2" maxValue="0.06"/>
    </cacheField>
    <cacheField name="comision_mxn" numFmtId="0">
      <sharedItems containsSemiMixedTypes="0" containsString="0" containsNumber="1" minValue="183.6" maxValue="1406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TXN-0001"/>
    <x v="0"/>
    <x v="0"/>
    <x v="0"/>
    <s v="Privado"/>
    <s v="Silla de Ruedas Elec."/>
    <s v="Rehabilitación"/>
    <s v="Rep_10"/>
    <n v="2"/>
    <n v="35000"/>
    <n v="21000"/>
    <n v="1.4E-2"/>
    <x v="0"/>
    <n v="25"/>
    <n v="34510"/>
    <n v="69020"/>
    <n v="42000"/>
    <n v="27020"/>
    <n v="39.1"/>
    <n v="0.06"/>
    <n v="4141.2"/>
  </r>
  <r>
    <s v="TXN-0002"/>
    <x v="1"/>
    <x v="0"/>
    <x v="1"/>
    <s v="Privado"/>
    <s v="Silla de Ruedas Elec."/>
    <s v="Rehabilitación"/>
    <s v="Rep_03"/>
    <n v="7"/>
    <n v="35000"/>
    <n v="21000"/>
    <n v="7.2999999999999995E-2"/>
    <x v="1"/>
    <n v="10"/>
    <n v="32445"/>
    <n v="227115"/>
    <n v="147000"/>
    <n v="80115"/>
    <n v="35.299999999999997"/>
    <n v="0.06"/>
    <n v="13626.9"/>
  </r>
  <r>
    <s v="TXN-0003"/>
    <x v="2"/>
    <x v="1"/>
    <x v="1"/>
    <s v="Privado"/>
    <s v="Oxímetro Portátil"/>
    <s v="Diagnóstico"/>
    <s v="Rep_05"/>
    <n v="9"/>
    <n v="8500"/>
    <n v="5100"/>
    <n v="9.0999999999999998E-2"/>
    <x v="1"/>
    <n v="40"/>
    <n v="7726.5"/>
    <n v="69538.5"/>
    <n v="45900"/>
    <n v="23638.5"/>
    <n v="34"/>
    <n v="0.06"/>
    <n v="4172.3100000000004"/>
  </r>
  <r>
    <s v="TXN-0004"/>
    <x v="0"/>
    <x v="0"/>
    <x v="2"/>
    <s v="Público"/>
    <s v="Oxímetro Portátil"/>
    <s v="Diagnóstico"/>
    <s v="Rep_04"/>
    <n v="10"/>
    <n v="8500"/>
    <n v="5100"/>
    <n v="2.1000000000000001E-2"/>
    <x v="0"/>
    <n v="13"/>
    <n v="8321.5"/>
    <n v="83215"/>
    <n v="51000"/>
    <n v="32215"/>
    <n v="38.700000000000003"/>
    <n v="2.5000000000000001E-2"/>
    <n v="2080.38"/>
  </r>
  <r>
    <s v="TXN-0005"/>
    <x v="2"/>
    <x v="2"/>
    <x v="3"/>
    <s v="Privado"/>
    <s v="Desfibrilador"/>
    <s v="Emergencias"/>
    <s v="Rep_06"/>
    <n v="8"/>
    <n v="95000"/>
    <n v="57000"/>
    <n v="6.2E-2"/>
    <x v="0"/>
    <n v="17"/>
    <n v="89110"/>
    <n v="712880"/>
    <n v="456000"/>
    <n v="256880"/>
    <n v="36"/>
    <n v="0.06"/>
    <n v="42772.800000000003"/>
  </r>
  <r>
    <s v="TXN-0006"/>
    <x v="1"/>
    <x v="3"/>
    <x v="3"/>
    <s v="Privado"/>
    <s v="Electrocardiógrafo"/>
    <s v="Diagnóstico"/>
    <s v="Rep_01"/>
    <n v="3"/>
    <n v="32000"/>
    <n v="19200"/>
    <n v="0.03"/>
    <x v="1"/>
    <n v="10"/>
    <n v="31040"/>
    <n v="93120"/>
    <n v="57600"/>
    <n v="35520"/>
    <n v="38.1"/>
    <n v="0.06"/>
    <n v="5587.2"/>
  </r>
  <r>
    <s v="TXN-0007"/>
    <x v="3"/>
    <x v="2"/>
    <x v="4"/>
    <s v="Público"/>
    <s v="Ventilador Mecánico"/>
    <s v="Equipo UCI"/>
    <s v="Rep_04"/>
    <n v="12"/>
    <n v="180000"/>
    <n v="108000"/>
    <n v="4.5999999999999999E-2"/>
    <x v="1"/>
    <n v="32"/>
    <n v="171720"/>
    <n v="2060640"/>
    <n v="1296000"/>
    <n v="764640"/>
    <n v="37.1"/>
    <n v="2.5000000000000001E-2"/>
    <n v="51516"/>
  </r>
  <r>
    <s v="TXN-0008"/>
    <x v="1"/>
    <x v="3"/>
    <x v="1"/>
    <s v="Privado"/>
    <s v="Silla de Ruedas Elec."/>
    <s v="Rehabilitación"/>
    <s v="Rep_07"/>
    <n v="8"/>
    <n v="35000"/>
    <n v="21000"/>
    <n v="5.0999999999999997E-2"/>
    <x v="1"/>
    <n v="44"/>
    <n v="33215"/>
    <n v="265720"/>
    <n v="168000"/>
    <n v="97720"/>
    <n v="36.799999999999997"/>
    <n v="0.06"/>
    <n v="15943.2"/>
  </r>
  <r>
    <s v="TXN-0009"/>
    <x v="0"/>
    <x v="3"/>
    <x v="1"/>
    <s v="Privado"/>
    <s v="Ventilador Mecánico"/>
    <s v="Equipo UCI"/>
    <s v="Rep_01"/>
    <n v="10"/>
    <n v="180000"/>
    <n v="108000"/>
    <n v="4.7E-2"/>
    <x v="0"/>
    <n v="40"/>
    <n v="171540"/>
    <n v="1715400"/>
    <n v="1080000"/>
    <n v="635400"/>
    <n v="37"/>
    <n v="0.06"/>
    <n v="102924"/>
  </r>
  <r>
    <s v="TXN-0010"/>
    <x v="0"/>
    <x v="3"/>
    <x v="0"/>
    <s v="Privado"/>
    <s v="Monitor de Signos"/>
    <s v="Equipo UCI"/>
    <s v="Rep_06"/>
    <n v="5"/>
    <n v="45000"/>
    <n v="27000"/>
    <n v="5.1999999999999998E-2"/>
    <x v="1"/>
    <n v="17"/>
    <n v="42660"/>
    <n v="213300"/>
    <n v="135000"/>
    <n v="78300"/>
    <n v="36.700000000000003"/>
    <n v="0.06"/>
    <n v="12798"/>
  </r>
  <r>
    <s v="TXN-0011"/>
    <x v="0"/>
    <x v="1"/>
    <x v="4"/>
    <s v="Público"/>
    <s v="Silla de Ruedas Elec."/>
    <s v="Rehabilitación"/>
    <s v="Rep_08"/>
    <n v="8"/>
    <n v="35000"/>
    <n v="21000"/>
    <n v="4.5999999999999999E-2"/>
    <x v="0"/>
    <n v="34"/>
    <n v="33390"/>
    <n v="267120"/>
    <n v="168000"/>
    <n v="99120"/>
    <n v="37.1"/>
    <n v="2.5000000000000001E-2"/>
    <n v="6678"/>
  </r>
  <r>
    <s v="TXN-0012"/>
    <x v="2"/>
    <x v="0"/>
    <x v="4"/>
    <s v="Público"/>
    <s v="Electrocardiógrafo"/>
    <s v="Diagnóstico"/>
    <s v="Rep_05"/>
    <n v="10"/>
    <n v="32000"/>
    <n v="19200"/>
    <n v="0.107"/>
    <x v="1"/>
    <n v="21"/>
    <n v="28576"/>
    <n v="285760"/>
    <n v="192000"/>
    <n v="93760"/>
    <n v="32.799999999999997"/>
    <n v="2.5000000000000001E-2"/>
    <n v="7144"/>
  </r>
  <r>
    <s v="TXN-0013"/>
    <x v="1"/>
    <x v="2"/>
    <x v="5"/>
    <s v="Público"/>
    <s v="Oxímetro Portátil"/>
    <s v="Diagnóstico"/>
    <s v="Rep_06"/>
    <n v="11"/>
    <n v="8500"/>
    <n v="5100"/>
    <n v="0.17299999999999999"/>
    <x v="0"/>
    <n v="35"/>
    <n v="7029.5"/>
    <n v="77324.5"/>
    <n v="56100"/>
    <n v="21224.5"/>
    <n v="27.4"/>
    <n v="2.5000000000000001E-2"/>
    <n v="1933.11"/>
  </r>
  <r>
    <s v="TXN-0014"/>
    <x v="0"/>
    <x v="1"/>
    <x v="5"/>
    <s v="Público"/>
    <s v="Desfibrilador"/>
    <s v="Emergencias"/>
    <s v="Rep_06"/>
    <n v="13"/>
    <n v="95000"/>
    <n v="57000"/>
    <n v="0.17299999999999999"/>
    <x v="0"/>
    <n v="15"/>
    <n v="78565"/>
    <n v="1021345"/>
    <n v="741000"/>
    <n v="280345"/>
    <n v="27.4"/>
    <n v="2.5000000000000001E-2"/>
    <n v="25533.62"/>
  </r>
  <r>
    <s v="TXN-0015"/>
    <x v="2"/>
    <x v="3"/>
    <x v="4"/>
    <s v="Público"/>
    <s v="Ventilador Mecánico"/>
    <s v="Equipo UCI"/>
    <s v="Rep_09"/>
    <n v="5"/>
    <n v="180000"/>
    <n v="108000"/>
    <n v="5.6000000000000001E-2"/>
    <x v="1"/>
    <n v="7"/>
    <n v="169920"/>
    <n v="849600"/>
    <n v="540000"/>
    <n v="309600"/>
    <n v="36.4"/>
    <n v="2.5000000000000001E-2"/>
    <n v="21240"/>
  </r>
  <r>
    <s v="TXN-0016"/>
    <x v="1"/>
    <x v="1"/>
    <x v="5"/>
    <s v="Público"/>
    <s v="Desfibrilador"/>
    <s v="Emergencias"/>
    <s v="Rep_10"/>
    <n v="2"/>
    <n v="95000"/>
    <n v="57000"/>
    <n v="0.14199999999999999"/>
    <x v="0"/>
    <n v="12"/>
    <n v="81510"/>
    <n v="163020"/>
    <n v="114000"/>
    <n v="49020"/>
    <n v="30.1"/>
    <n v="2.5000000000000001E-2"/>
    <n v="4075.5"/>
  </r>
  <r>
    <s v="TXN-0017"/>
    <x v="1"/>
    <x v="0"/>
    <x v="5"/>
    <s v="Público"/>
    <s v="Cama Hospitalaria"/>
    <s v="Mobiliario Clínico"/>
    <s v="Rep_02"/>
    <n v="3"/>
    <n v="22000"/>
    <n v="13200"/>
    <n v="0.16"/>
    <x v="0"/>
    <n v="44"/>
    <n v="18480"/>
    <n v="55440"/>
    <n v="39600"/>
    <n v="15840"/>
    <n v="28.6"/>
    <n v="2.5000000000000001E-2"/>
    <n v="1386"/>
  </r>
  <r>
    <s v="TXN-0018"/>
    <x v="2"/>
    <x v="0"/>
    <x v="5"/>
    <s v="Público"/>
    <s v="Oxímetro Portátil"/>
    <s v="Diagnóstico"/>
    <s v="Rep_05"/>
    <n v="3"/>
    <n v="8500"/>
    <n v="5100"/>
    <n v="0.158"/>
    <x v="0"/>
    <n v="15"/>
    <n v="7157"/>
    <n v="21471"/>
    <n v="15300"/>
    <n v="6171"/>
    <n v="28.7"/>
    <n v="2.5000000000000001E-2"/>
    <n v="536.78"/>
  </r>
  <r>
    <s v="TXN-0019"/>
    <x v="3"/>
    <x v="3"/>
    <x v="1"/>
    <s v="Privado"/>
    <s v="Cama Hospitalaria"/>
    <s v="Mobiliario Clínico"/>
    <s v="Rep_05"/>
    <n v="6"/>
    <n v="22000"/>
    <n v="13200"/>
    <n v="5.8000000000000003E-2"/>
    <x v="0"/>
    <n v="7"/>
    <n v="20724"/>
    <n v="124344"/>
    <n v="79200"/>
    <n v="45144"/>
    <n v="36.299999999999997"/>
    <n v="0.06"/>
    <n v="7460.64"/>
  </r>
  <r>
    <s v="TXN-0020"/>
    <x v="3"/>
    <x v="0"/>
    <x v="4"/>
    <s v="Público"/>
    <s v="Oxímetro Portátil"/>
    <s v="Diagnóstico"/>
    <s v="Rep_05"/>
    <n v="3"/>
    <n v="8500"/>
    <n v="5100"/>
    <n v="0"/>
    <x v="0"/>
    <n v="17"/>
    <n v="8500"/>
    <n v="25500"/>
    <n v="15300"/>
    <n v="10200"/>
    <n v="40"/>
    <n v="0.04"/>
    <n v="1020"/>
  </r>
  <r>
    <s v="TXN-0021"/>
    <x v="3"/>
    <x v="0"/>
    <x v="5"/>
    <s v="Público"/>
    <s v="Electrocardiógrafo"/>
    <s v="Diagnóstico"/>
    <s v="Rep_04"/>
    <n v="8"/>
    <n v="32000"/>
    <n v="19200"/>
    <n v="2.3E-2"/>
    <x v="0"/>
    <n v="40"/>
    <n v="31264"/>
    <n v="250112"/>
    <n v="153600"/>
    <n v="96512"/>
    <n v="38.6"/>
    <n v="2.5000000000000001E-2"/>
    <n v="6252.8"/>
  </r>
  <r>
    <s v="TXN-0022"/>
    <x v="3"/>
    <x v="4"/>
    <x v="5"/>
    <s v="Público"/>
    <s v="Silla de Ruedas Elec."/>
    <s v="Rehabilitación"/>
    <s v="Rep_09"/>
    <n v="7"/>
    <n v="35000"/>
    <n v="21000"/>
    <n v="7.1999999999999995E-2"/>
    <x v="0"/>
    <n v="23"/>
    <n v="32480"/>
    <n v="227360"/>
    <n v="147000"/>
    <n v="80360"/>
    <n v="35.299999999999997"/>
    <n v="2.5000000000000001E-2"/>
    <n v="5684"/>
  </r>
  <r>
    <s v="TXN-0023"/>
    <x v="2"/>
    <x v="1"/>
    <x v="6"/>
    <s v="Privado"/>
    <s v="Cama Hospitalaria"/>
    <s v="Mobiliario Clínico"/>
    <s v="Rep_04"/>
    <n v="14"/>
    <n v="22000"/>
    <n v="13200"/>
    <n v="0.105"/>
    <x v="0"/>
    <n v="14"/>
    <n v="19690"/>
    <n v="275660"/>
    <n v="184800"/>
    <n v="90860"/>
    <n v="33"/>
    <n v="0.06"/>
    <n v="16539.599999999999"/>
  </r>
  <r>
    <s v="TXN-0024"/>
    <x v="3"/>
    <x v="1"/>
    <x v="0"/>
    <s v="Privado"/>
    <s v="Silla de Ruedas Elec."/>
    <s v="Rehabilitación"/>
    <s v="Rep_09"/>
    <n v="4"/>
    <n v="35000"/>
    <n v="21000"/>
    <n v="3.3000000000000002E-2"/>
    <x v="1"/>
    <n v="12"/>
    <n v="33845"/>
    <n v="135380"/>
    <n v="84000"/>
    <n v="51380"/>
    <n v="38"/>
    <n v="0.06"/>
    <n v="8122.8"/>
  </r>
  <r>
    <s v="TXN-0025"/>
    <x v="3"/>
    <x v="1"/>
    <x v="5"/>
    <s v="Público"/>
    <s v="Bomba de Infusión"/>
    <s v="Medicación IV"/>
    <s v="Rep_10"/>
    <n v="12"/>
    <n v="28000"/>
    <n v="16800"/>
    <n v="5.0999999999999997E-2"/>
    <x v="0"/>
    <n v="26"/>
    <n v="26572"/>
    <n v="318864"/>
    <n v="201600"/>
    <n v="117264"/>
    <n v="36.799999999999997"/>
    <n v="2.5000000000000001E-2"/>
    <n v="7971.6"/>
  </r>
  <r>
    <s v="TXN-0026"/>
    <x v="1"/>
    <x v="3"/>
    <x v="5"/>
    <s v="Público"/>
    <s v="Silla de Ruedas Elec."/>
    <s v="Rehabilitación"/>
    <s v="Rep_04"/>
    <n v="4"/>
    <n v="35000"/>
    <n v="21000"/>
    <n v="0.152"/>
    <x v="0"/>
    <n v="37"/>
    <n v="29680"/>
    <n v="118720"/>
    <n v="84000"/>
    <n v="34720"/>
    <n v="29.2"/>
    <n v="2.5000000000000001E-2"/>
    <n v="2968"/>
  </r>
  <r>
    <s v="TXN-0027"/>
    <x v="0"/>
    <x v="3"/>
    <x v="5"/>
    <s v="Público"/>
    <s v="Desfibrilador"/>
    <s v="Emergencias"/>
    <s v="Rep_04"/>
    <n v="2"/>
    <n v="95000"/>
    <n v="57000"/>
    <n v="0.127"/>
    <x v="0"/>
    <n v="18"/>
    <n v="82935"/>
    <n v="165870"/>
    <n v="114000"/>
    <n v="51870"/>
    <n v="31.3"/>
    <n v="2.5000000000000001E-2"/>
    <n v="4146.75"/>
  </r>
  <r>
    <s v="TXN-0028"/>
    <x v="0"/>
    <x v="0"/>
    <x v="5"/>
    <s v="Público"/>
    <s v="Desfibrilador"/>
    <s v="Emergencias"/>
    <s v="Rep_08"/>
    <n v="9"/>
    <n v="95000"/>
    <n v="57000"/>
    <n v="0.13300000000000001"/>
    <x v="0"/>
    <n v="39"/>
    <n v="82365"/>
    <n v="741285"/>
    <n v="513000"/>
    <n v="228285"/>
    <n v="30.8"/>
    <n v="2.5000000000000001E-2"/>
    <n v="18532.12"/>
  </r>
  <r>
    <s v="TXN-0029"/>
    <x v="0"/>
    <x v="1"/>
    <x v="5"/>
    <s v="Público"/>
    <s v="Monitor de Signos"/>
    <s v="Equipo UCI"/>
    <s v="Rep_09"/>
    <n v="12"/>
    <n v="45000"/>
    <n v="27000"/>
    <n v="0.14899999999999999"/>
    <x v="1"/>
    <n v="4"/>
    <n v="38295"/>
    <n v="459540"/>
    <n v="324000"/>
    <n v="135540"/>
    <n v="29.5"/>
    <n v="2.5000000000000001E-2"/>
    <n v="11488.5"/>
  </r>
  <r>
    <s v="TXN-0030"/>
    <x v="1"/>
    <x v="3"/>
    <x v="5"/>
    <s v="Público"/>
    <s v="Desfibrilador"/>
    <s v="Emergencias"/>
    <s v="Rep_08"/>
    <n v="3"/>
    <n v="95000"/>
    <n v="57000"/>
    <n v="0.113"/>
    <x v="0"/>
    <n v="11"/>
    <n v="84265"/>
    <n v="252795"/>
    <n v="171000"/>
    <n v="81795"/>
    <n v="32.4"/>
    <n v="2.5000000000000001E-2"/>
    <n v="6319.88"/>
  </r>
  <r>
    <s v="TXN-0031"/>
    <x v="0"/>
    <x v="4"/>
    <x v="2"/>
    <s v="Público"/>
    <s v="Cama Hospitalaria"/>
    <s v="Mobiliario Clínico"/>
    <s v="Rep_08"/>
    <n v="8"/>
    <n v="22000"/>
    <n v="13200"/>
    <n v="0.113"/>
    <x v="0"/>
    <n v="10"/>
    <n v="19514"/>
    <n v="156112"/>
    <n v="105600"/>
    <n v="50512"/>
    <n v="32.4"/>
    <n v="2.5000000000000001E-2"/>
    <n v="3902.8"/>
  </r>
  <r>
    <s v="TXN-0032"/>
    <x v="1"/>
    <x v="1"/>
    <x v="5"/>
    <s v="Público"/>
    <s v="Monitor de Signos"/>
    <s v="Equipo UCI"/>
    <s v="Rep_09"/>
    <n v="7"/>
    <n v="45000"/>
    <n v="27000"/>
    <n v="0.11899999999999999"/>
    <x v="1"/>
    <n v="31"/>
    <n v="39645"/>
    <n v="277515"/>
    <n v="189000"/>
    <n v="88515"/>
    <n v="31.9"/>
    <n v="2.5000000000000001E-2"/>
    <n v="6937.88"/>
  </r>
  <r>
    <s v="TXN-0033"/>
    <x v="0"/>
    <x v="1"/>
    <x v="2"/>
    <s v="Público"/>
    <s v="Monitor de Signos"/>
    <s v="Equipo UCI"/>
    <s v="Rep_10"/>
    <n v="12"/>
    <n v="45000"/>
    <n v="27000"/>
    <n v="4.2000000000000003E-2"/>
    <x v="0"/>
    <n v="9"/>
    <n v="43110"/>
    <n v="517320"/>
    <n v="324000"/>
    <n v="193320"/>
    <n v="37.4"/>
    <n v="2.5000000000000001E-2"/>
    <n v="12933"/>
  </r>
  <r>
    <s v="TXN-0034"/>
    <x v="0"/>
    <x v="2"/>
    <x v="5"/>
    <s v="Público"/>
    <s v="Cama Hospitalaria"/>
    <s v="Mobiliario Clínico"/>
    <s v="Rep_03"/>
    <n v="2"/>
    <n v="22000"/>
    <n v="13200"/>
    <n v="0.188"/>
    <x v="1"/>
    <n v="14"/>
    <n v="17864"/>
    <n v="35728"/>
    <n v="26400"/>
    <n v="9328"/>
    <n v="26.1"/>
    <n v="2.5000000000000001E-2"/>
    <n v="893.2"/>
  </r>
  <r>
    <s v="TXN-0035"/>
    <x v="0"/>
    <x v="1"/>
    <x v="3"/>
    <s v="Privado"/>
    <s v="Oxímetro Portátil"/>
    <s v="Diagnóstico"/>
    <s v="Rep_06"/>
    <n v="10"/>
    <n v="8500"/>
    <n v="5100"/>
    <n v="4.8000000000000001E-2"/>
    <x v="0"/>
    <n v="21"/>
    <n v="8092"/>
    <n v="80920"/>
    <n v="51000"/>
    <n v="29920"/>
    <n v="37"/>
    <n v="0.06"/>
    <n v="4855.2"/>
  </r>
  <r>
    <s v="TXN-0036"/>
    <x v="3"/>
    <x v="3"/>
    <x v="5"/>
    <s v="Público"/>
    <s v="Electrocardiógrafo"/>
    <s v="Diagnóstico"/>
    <s v="Rep_03"/>
    <n v="10"/>
    <n v="32000"/>
    <n v="19200"/>
    <n v="5.0000000000000001E-3"/>
    <x v="1"/>
    <n v="8"/>
    <n v="31840"/>
    <n v="318400"/>
    <n v="192000"/>
    <n v="126400"/>
    <n v="39.700000000000003"/>
    <n v="2.5000000000000001E-2"/>
    <n v="7960"/>
  </r>
  <r>
    <s v="TXN-0037"/>
    <x v="0"/>
    <x v="1"/>
    <x v="3"/>
    <s v="Privado"/>
    <s v="Ventilador Mecánico"/>
    <s v="Equipo UCI"/>
    <s v="Rep_02"/>
    <n v="8"/>
    <n v="180000"/>
    <n v="108000"/>
    <n v="0"/>
    <x v="0"/>
    <n v="32"/>
    <n v="180000"/>
    <n v="1440000"/>
    <n v="864000"/>
    <n v="576000"/>
    <n v="40"/>
    <n v="0.06"/>
    <n v="86400"/>
  </r>
  <r>
    <s v="TXN-0038"/>
    <x v="0"/>
    <x v="0"/>
    <x v="2"/>
    <s v="Público"/>
    <s v="Oxímetro Portátil"/>
    <s v="Diagnóstico"/>
    <s v="Rep_02"/>
    <n v="1"/>
    <n v="8500"/>
    <n v="5100"/>
    <n v="5.5E-2"/>
    <x v="0"/>
    <n v="26"/>
    <n v="8032.5"/>
    <n v="8032.5"/>
    <n v="5100"/>
    <n v="2932.5"/>
    <n v="36.5"/>
    <n v="2.5000000000000001E-2"/>
    <n v="200.81"/>
  </r>
  <r>
    <s v="TXN-0039"/>
    <x v="0"/>
    <x v="3"/>
    <x v="5"/>
    <s v="Público"/>
    <s v="Monitor de Signos"/>
    <s v="Equipo UCI"/>
    <s v="Rep_07"/>
    <n v="14"/>
    <n v="45000"/>
    <n v="27000"/>
    <n v="5.2999999999999999E-2"/>
    <x v="0"/>
    <n v="22"/>
    <n v="42615"/>
    <n v="596610"/>
    <n v="378000"/>
    <n v="218610"/>
    <n v="36.6"/>
    <n v="2.5000000000000001E-2"/>
    <n v="14915.25"/>
  </r>
  <r>
    <s v="TXN-0040"/>
    <x v="2"/>
    <x v="2"/>
    <x v="5"/>
    <s v="Público"/>
    <s v="Ventilador Mecánico"/>
    <s v="Equipo UCI"/>
    <s v="Rep_03"/>
    <n v="5"/>
    <n v="180000"/>
    <n v="108000"/>
    <n v="0.17399999999999999"/>
    <x v="0"/>
    <n v="4"/>
    <n v="148680"/>
    <n v="743400"/>
    <n v="540000"/>
    <n v="203400"/>
    <n v="27.4"/>
    <n v="2.5000000000000001E-2"/>
    <n v="18585"/>
  </r>
  <r>
    <s v="TXN-0041"/>
    <x v="0"/>
    <x v="1"/>
    <x v="2"/>
    <s v="Público"/>
    <s v="Monitor de Signos"/>
    <s v="Equipo UCI"/>
    <s v="Rep_05"/>
    <n v="5"/>
    <n v="45000"/>
    <n v="27000"/>
    <n v="0.16800000000000001"/>
    <x v="0"/>
    <n v="26"/>
    <n v="37440"/>
    <n v="187200"/>
    <n v="135000"/>
    <n v="52200"/>
    <n v="27.9"/>
    <n v="2.5000000000000001E-2"/>
    <n v="4680"/>
  </r>
  <r>
    <s v="TXN-0042"/>
    <x v="3"/>
    <x v="1"/>
    <x v="2"/>
    <s v="Público"/>
    <s v="Bomba de Infusión"/>
    <s v="Medicación IV"/>
    <s v="Rep_01"/>
    <n v="8"/>
    <n v="28000"/>
    <n v="16800"/>
    <n v="0.10100000000000001"/>
    <x v="0"/>
    <n v="28"/>
    <n v="25172"/>
    <n v="201376"/>
    <n v="134400"/>
    <n v="66976"/>
    <n v="33.299999999999997"/>
    <n v="2.5000000000000001E-2"/>
    <n v="5034.3999999999996"/>
  </r>
  <r>
    <s v="TXN-0043"/>
    <x v="0"/>
    <x v="1"/>
    <x v="4"/>
    <s v="Público"/>
    <s v="Cama Hospitalaria"/>
    <s v="Mobiliario Clínico"/>
    <s v="Rep_10"/>
    <n v="11"/>
    <n v="22000"/>
    <n v="13200"/>
    <n v="0"/>
    <x v="0"/>
    <n v="13"/>
    <n v="22000"/>
    <n v="242000"/>
    <n v="145200"/>
    <n v="96800"/>
    <n v="40"/>
    <n v="0.04"/>
    <n v="9680"/>
  </r>
  <r>
    <s v="TXN-0044"/>
    <x v="2"/>
    <x v="3"/>
    <x v="0"/>
    <s v="Privado"/>
    <s v="Desfibrilador"/>
    <s v="Emergencias"/>
    <s v="Rep_01"/>
    <n v="13"/>
    <n v="95000"/>
    <n v="57000"/>
    <n v="6.5000000000000002E-2"/>
    <x v="1"/>
    <n v="35"/>
    <n v="88825"/>
    <n v="1154725"/>
    <n v="741000"/>
    <n v="413725"/>
    <n v="35.799999999999997"/>
    <n v="0.06"/>
    <n v="69283.5"/>
  </r>
  <r>
    <s v="TXN-0045"/>
    <x v="0"/>
    <x v="1"/>
    <x v="5"/>
    <s v="Público"/>
    <s v="Oxímetro Portátil"/>
    <s v="Diagnóstico"/>
    <s v="Rep_06"/>
    <n v="4"/>
    <n v="8500"/>
    <n v="5100"/>
    <n v="7.6999999999999999E-2"/>
    <x v="0"/>
    <n v="21"/>
    <n v="7845.5"/>
    <n v="31382"/>
    <n v="20400"/>
    <n v="10982"/>
    <n v="35"/>
    <n v="2.5000000000000001E-2"/>
    <n v="784.55"/>
  </r>
  <r>
    <s v="TXN-0046"/>
    <x v="1"/>
    <x v="4"/>
    <x v="4"/>
    <s v="Público"/>
    <s v="Electrocardiógrafo"/>
    <s v="Diagnóstico"/>
    <s v="Rep_01"/>
    <n v="8"/>
    <n v="32000"/>
    <n v="19200"/>
    <n v="0.13900000000000001"/>
    <x v="1"/>
    <n v="39"/>
    <n v="27552"/>
    <n v="220416"/>
    <n v="153600"/>
    <n v="66816"/>
    <n v="30.3"/>
    <n v="2.5000000000000001E-2"/>
    <n v="5510.4"/>
  </r>
  <r>
    <s v="TXN-0047"/>
    <x v="0"/>
    <x v="1"/>
    <x v="5"/>
    <s v="Público"/>
    <s v="Silla de Ruedas Elec."/>
    <s v="Rehabilitación"/>
    <s v="Rep_10"/>
    <n v="6"/>
    <n v="35000"/>
    <n v="21000"/>
    <n v="0.19500000000000001"/>
    <x v="1"/>
    <n v="12"/>
    <n v="28175"/>
    <n v="169050"/>
    <n v="126000"/>
    <n v="43050"/>
    <n v="25.5"/>
    <n v="2.5000000000000001E-2"/>
    <n v="4226.25"/>
  </r>
  <r>
    <s v="TXN-0048"/>
    <x v="0"/>
    <x v="0"/>
    <x v="5"/>
    <s v="Público"/>
    <s v="Desfibrilador"/>
    <s v="Emergencias"/>
    <s v="Rep_05"/>
    <n v="10"/>
    <n v="95000"/>
    <n v="57000"/>
    <n v="0.161"/>
    <x v="1"/>
    <n v="28"/>
    <n v="79705"/>
    <n v="797050"/>
    <n v="570000"/>
    <n v="227050"/>
    <n v="28.5"/>
    <n v="2.5000000000000001E-2"/>
    <n v="19926.25"/>
  </r>
  <r>
    <s v="TXN-0049"/>
    <x v="0"/>
    <x v="1"/>
    <x v="5"/>
    <s v="Público"/>
    <s v="Monitor de Signos"/>
    <s v="Equipo UCI"/>
    <s v="Rep_06"/>
    <n v="12"/>
    <n v="45000"/>
    <n v="27000"/>
    <n v="0.09"/>
    <x v="0"/>
    <n v="23"/>
    <n v="40950"/>
    <n v="491400"/>
    <n v="324000"/>
    <n v="167400"/>
    <n v="34.1"/>
    <n v="2.5000000000000001E-2"/>
    <n v="12285"/>
  </r>
  <r>
    <s v="TXN-0050"/>
    <x v="1"/>
    <x v="1"/>
    <x v="5"/>
    <s v="Público"/>
    <s v="Oxímetro Portátil"/>
    <s v="Diagnóstico"/>
    <s v="Rep_09"/>
    <n v="1"/>
    <n v="8500"/>
    <n v="5100"/>
    <n v="0.13600000000000001"/>
    <x v="0"/>
    <n v="24"/>
    <n v="7344"/>
    <n v="7344"/>
    <n v="5100"/>
    <n v="2244"/>
    <n v="30.6"/>
    <n v="2.5000000000000001E-2"/>
    <n v="183.6"/>
  </r>
  <r>
    <s v="TXN-0051"/>
    <x v="3"/>
    <x v="2"/>
    <x v="6"/>
    <s v="Privado"/>
    <s v="Ventilador Mecánico"/>
    <s v="Equipo UCI"/>
    <s v="Rep_06"/>
    <n v="12"/>
    <n v="180000"/>
    <n v="108000"/>
    <n v="9.9000000000000005E-2"/>
    <x v="0"/>
    <n v="16"/>
    <n v="162180"/>
    <n v="1946160"/>
    <n v="1296000"/>
    <n v="650160"/>
    <n v="33.4"/>
    <n v="0.06"/>
    <n v="116769.60000000001"/>
  </r>
  <r>
    <s v="TXN-0052"/>
    <x v="1"/>
    <x v="1"/>
    <x v="5"/>
    <s v="Público"/>
    <s v="Oxímetro Portátil"/>
    <s v="Diagnóstico"/>
    <s v="Rep_07"/>
    <n v="9"/>
    <n v="8500"/>
    <n v="5100"/>
    <n v="3.5999999999999997E-2"/>
    <x v="1"/>
    <n v="26"/>
    <n v="8194"/>
    <n v="73746"/>
    <n v="45900"/>
    <n v="27846"/>
    <n v="37.799999999999997"/>
    <n v="2.5000000000000001E-2"/>
    <n v="1843.65"/>
  </r>
  <r>
    <s v="TXN-0053"/>
    <x v="0"/>
    <x v="2"/>
    <x v="5"/>
    <s v="Público"/>
    <s v="Ventilador Mecánico"/>
    <s v="Equipo UCI"/>
    <s v="Rep_03"/>
    <n v="10"/>
    <n v="180000"/>
    <n v="108000"/>
    <n v="9.5000000000000001E-2"/>
    <x v="0"/>
    <n v="7"/>
    <n v="162900"/>
    <n v="1629000"/>
    <n v="1080000"/>
    <n v="549000"/>
    <n v="33.700000000000003"/>
    <n v="2.5000000000000001E-2"/>
    <n v="40725"/>
  </r>
  <r>
    <s v="TXN-0054"/>
    <x v="2"/>
    <x v="1"/>
    <x v="4"/>
    <s v="Público"/>
    <s v="Monitor de Signos"/>
    <s v="Equipo UCI"/>
    <s v="Rep_02"/>
    <n v="9"/>
    <n v="45000"/>
    <n v="27000"/>
    <n v="0.13100000000000001"/>
    <x v="0"/>
    <n v="3"/>
    <n v="39105"/>
    <n v="351945"/>
    <n v="243000"/>
    <n v="108945"/>
    <n v="31"/>
    <n v="2.5000000000000001E-2"/>
    <n v="8798.6200000000008"/>
  </r>
  <r>
    <s v="TXN-0055"/>
    <x v="1"/>
    <x v="4"/>
    <x v="5"/>
    <s v="Público"/>
    <s v="Electrocardiógrafo"/>
    <s v="Diagnóstico"/>
    <s v="Rep_01"/>
    <n v="2"/>
    <n v="32000"/>
    <n v="19200"/>
    <n v="1.4999999999999999E-2"/>
    <x v="0"/>
    <n v="38"/>
    <n v="31520"/>
    <n v="63040"/>
    <n v="38400"/>
    <n v="24640"/>
    <n v="39.1"/>
    <n v="2.5000000000000001E-2"/>
    <n v="1576"/>
  </r>
  <r>
    <s v="TXN-0056"/>
    <x v="3"/>
    <x v="1"/>
    <x v="0"/>
    <s v="Privado"/>
    <s v="Desfibrilador"/>
    <s v="Emergencias"/>
    <s v="Rep_08"/>
    <n v="13"/>
    <n v="95000"/>
    <n v="57000"/>
    <n v="8.8999999999999996E-2"/>
    <x v="0"/>
    <n v="39"/>
    <n v="86545"/>
    <n v="1125085"/>
    <n v="741000"/>
    <n v="384085"/>
    <n v="34.1"/>
    <n v="0.06"/>
    <n v="67505.100000000006"/>
  </r>
  <r>
    <s v="TXN-0057"/>
    <x v="0"/>
    <x v="1"/>
    <x v="5"/>
    <s v="Público"/>
    <s v="Oxímetro Portátil"/>
    <s v="Diagnóstico"/>
    <s v="Rep_02"/>
    <n v="13"/>
    <n v="8500"/>
    <n v="5100"/>
    <n v="0.14099999999999999"/>
    <x v="1"/>
    <n v="25"/>
    <n v="7301.5"/>
    <n v="94919.5"/>
    <n v="66300"/>
    <n v="28619.5"/>
    <n v="30.2"/>
    <n v="2.5000000000000001E-2"/>
    <n v="2372.9899999999998"/>
  </r>
  <r>
    <s v="TXN-0058"/>
    <x v="1"/>
    <x v="1"/>
    <x v="6"/>
    <s v="Privado"/>
    <s v="Desfibrilador"/>
    <s v="Emergencias"/>
    <s v="Rep_06"/>
    <n v="11"/>
    <n v="95000"/>
    <n v="57000"/>
    <n v="3.1E-2"/>
    <x v="0"/>
    <n v="41"/>
    <n v="92055"/>
    <n v="1012605"/>
    <n v="627000"/>
    <n v="385605"/>
    <n v="38.1"/>
    <n v="0.06"/>
    <n v="60756.3"/>
  </r>
  <r>
    <s v="TXN-0059"/>
    <x v="1"/>
    <x v="3"/>
    <x v="5"/>
    <s v="Público"/>
    <s v="Bomba de Infusión"/>
    <s v="Medicación IV"/>
    <s v="Rep_01"/>
    <n v="5"/>
    <n v="28000"/>
    <n v="16800"/>
    <n v="0.03"/>
    <x v="0"/>
    <n v="7"/>
    <n v="27160"/>
    <n v="135800"/>
    <n v="84000"/>
    <n v="51800"/>
    <n v="38.1"/>
    <n v="2.5000000000000001E-2"/>
    <n v="3395"/>
  </r>
  <r>
    <s v="TXN-0060"/>
    <x v="0"/>
    <x v="3"/>
    <x v="1"/>
    <s v="Privado"/>
    <s v="Silla de Ruedas Elec."/>
    <s v="Rehabilitación"/>
    <s v="Rep_10"/>
    <n v="4"/>
    <n v="35000"/>
    <n v="21000"/>
    <n v="6.4000000000000001E-2"/>
    <x v="1"/>
    <n v="41"/>
    <n v="32760"/>
    <n v="131040"/>
    <n v="84000"/>
    <n v="47040"/>
    <n v="35.9"/>
    <n v="0.06"/>
    <n v="7862.4"/>
  </r>
  <r>
    <s v="TXN-0061"/>
    <x v="2"/>
    <x v="3"/>
    <x v="4"/>
    <s v="Público"/>
    <s v="Oxímetro Portátil"/>
    <s v="Diagnóstico"/>
    <s v="Rep_06"/>
    <n v="12"/>
    <n v="8500"/>
    <n v="5100"/>
    <n v="6.5000000000000002E-2"/>
    <x v="0"/>
    <n v="22"/>
    <n v="7947.5"/>
    <n v="95370"/>
    <n v="61200"/>
    <n v="34170"/>
    <n v="35.799999999999997"/>
    <n v="2.5000000000000001E-2"/>
    <n v="2384.25"/>
  </r>
  <r>
    <s v="TXN-0062"/>
    <x v="0"/>
    <x v="3"/>
    <x v="4"/>
    <s v="Público"/>
    <s v="Oxímetro Portátil"/>
    <s v="Diagnóstico"/>
    <s v="Rep_05"/>
    <n v="7"/>
    <n v="8500"/>
    <n v="5100"/>
    <n v="9.6000000000000002E-2"/>
    <x v="0"/>
    <n v="11"/>
    <n v="7684"/>
    <n v="53788"/>
    <n v="35700"/>
    <n v="18088"/>
    <n v="33.6"/>
    <n v="2.5000000000000001E-2"/>
    <n v="1344.7"/>
  </r>
  <r>
    <s v="TXN-0063"/>
    <x v="3"/>
    <x v="2"/>
    <x v="5"/>
    <s v="Público"/>
    <s v="Electrocardiógrafo"/>
    <s v="Diagnóstico"/>
    <s v="Rep_09"/>
    <n v="4"/>
    <n v="32000"/>
    <n v="19200"/>
    <n v="0.11799999999999999"/>
    <x v="0"/>
    <n v="25"/>
    <n v="28224"/>
    <n v="112896"/>
    <n v="76800"/>
    <n v="36096"/>
    <n v="32"/>
    <n v="2.5000000000000001E-2"/>
    <n v="2822.4"/>
  </r>
  <r>
    <s v="TXN-0064"/>
    <x v="2"/>
    <x v="1"/>
    <x v="0"/>
    <s v="Privado"/>
    <s v="Cama Hospitalaria"/>
    <s v="Mobiliario Clínico"/>
    <s v="Rep_03"/>
    <n v="9"/>
    <n v="22000"/>
    <n v="13200"/>
    <n v="3.3000000000000002E-2"/>
    <x v="0"/>
    <n v="40"/>
    <n v="21274"/>
    <n v="191466"/>
    <n v="118800"/>
    <n v="72666"/>
    <n v="38"/>
    <n v="0.06"/>
    <n v="11487.96"/>
  </r>
  <r>
    <s v="TXN-0065"/>
    <x v="2"/>
    <x v="0"/>
    <x v="5"/>
    <s v="Público"/>
    <s v="Electrocardiógrafo"/>
    <s v="Diagnóstico"/>
    <s v="Rep_01"/>
    <n v="13"/>
    <n v="32000"/>
    <n v="19200"/>
    <n v="6.7000000000000004E-2"/>
    <x v="0"/>
    <n v="42"/>
    <n v="29856"/>
    <n v="388128"/>
    <n v="249600"/>
    <n v="138528"/>
    <n v="35.700000000000003"/>
    <n v="2.5000000000000001E-2"/>
    <n v="9703.2000000000007"/>
  </r>
  <r>
    <s v="TXN-0066"/>
    <x v="0"/>
    <x v="0"/>
    <x v="1"/>
    <s v="Privado"/>
    <s v="Silla de Ruedas Elec."/>
    <s v="Rehabilitación"/>
    <s v="Rep_07"/>
    <n v="3"/>
    <n v="35000"/>
    <n v="21000"/>
    <n v="4.0000000000000001E-3"/>
    <x v="0"/>
    <n v="5"/>
    <n v="34860"/>
    <n v="104580"/>
    <n v="63000"/>
    <n v="41580"/>
    <n v="39.799999999999997"/>
    <n v="0.06"/>
    <n v="6274.8"/>
  </r>
  <r>
    <s v="TXN-0067"/>
    <x v="2"/>
    <x v="0"/>
    <x v="6"/>
    <s v="Privado"/>
    <s v="Cama Hospitalaria"/>
    <s v="Mobiliario Clínico"/>
    <s v="Rep_06"/>
    <n v="11"/>
    <n v="22000"/>
    <n v="13200"/>
    <n v="0.1"/>
    <x v="1"/>
    <n v="35"/>
    <n v="19800"/>
    <n v="217800"/>
    <n v="145200"/>
    <n v="72600"/>
    <n v="33.299999999999997"/>
    <n v="0.06"/>
    <n v="13068"/>
  </r>
  <r>
    <s v="TXN-0068"/>
    <x v="0"/>
    <x v="3"/>
    <x v="5"/>
    <s v="Público"/>
    <s v="Oxímetro Portátil"/>
    <s v="Diagnóstico"/>
    <s v="Rep_10"/>
    <n v="5"/>
    <n v="8500"/>
    <n v="5100"/>
    <n v="1.7999999999999999E-2"/>
    <x v="0"/>
    <n v="12"/>
    <n v="8347"/>
    <n v="41735"/>
    <n v="25500"/>
    <n v="16235"/>
    <n v="38.9"/>
    <n v="2.5000000000000001E-2"/>
    <n v="1043.3800000000001"/>
  </r>
  <r>
    <s v="TXN-0069"/>
    <x v="3"/>
    <x v="3"/>
    <x v="5"/>
    <s v="Público"/>
    <s v="Electrocardiógrafo"/>
    <s v="Diagnóstico"/>
    <s v="Rep_07"/>
    <n v="12"/>
    <n v="32000"/>
    <n v="19200"/>
    <n v="0.11"/>
    <x v="0"/>
    <n v="25"/>
    <n v="28480"/>
    <n v="341760"/>
    <n v="230400"/>
    <n v="111360"/>
    <n v="32.6"/>
    <n v="2.5000000000000001E-2"/>
    <n v="8544"/>
  </r>
  <r>
    <s v="TXN-0070"/>
    <x v="0"/>
    <x v="3"/>
    <x v="5"/>
    <s v="Público"/>
    <s v="Bomba de Infusión"/>
    <s v="Medicación IV"/>
    <s v="Rep_01"/>
    <n v="13"/>
    <n v="28000"/>
    <n v="16800"/>
    <n v="1E-3"/>
    <x v="1"/>
    <n v="44"/>
    <n v="27972"/>
    <n v="363636"/>
    <n v="218400"/>
    <n v="145236"/>
    <n v="39.9"/>
    <n v="2.5000000000000001E-2"/>
    <n v="9090.9"/>
  </r>
  <r>
    <s v="TXN-0071"/>
    <x v="0"/>
    <x v="3"/>
    <x v="5"/>
    <s v="Público"/>
    <s v="Monitor de Signos"/>
    <s v="Equipo UCI"/>
    <s v="Rep_07"/>
    <n v="14"/>
    <n v="45000"/>
    <n v="27000"/>
    <n v="0.16500000000000001"/>
    <x v="0"/>
    <n v="17"/>
    <n v="37575"/>
    <n v="526050"/>
    <n v="378000"/>
    <n v="148050"/>
    <n v="28.1"/>
    <n v="2.5000000000000001E-2"/>
    <n v="13151.25"/>
  </r>
  <r>
    <s v="TXN-0072"/>
    <x v="0"/>
    <x v="1"/>
    <x v="5"/>
    <s v="Público"/>
    <s v="Bomba de Infusión"/>
    <s v="Medicación IV"/>
    <s v="Rep_08"/>
    <n v="3"/>
    <n v="28000"/>
    <n v="16800"/>
    <n v="0.19400000000000001"/>
    <x v="0"/>
    <n v="25"/>
    <n v="22568"/>
    <n v="67704"/>
    <n v="50400"/>
    <n v="17304"/>
    <n v="25.6"/>
    <n v="2.5000000000000001E-2"/>
    <n v="1692.6"/>
  </r>
  <r>
    <s v="TXN-0073"/>
    <x v="0"/>
    <x v="1"/>
    <x v="5"/>
    <s v="Público"/>
    <s v="Monitor de Signos"/>
    <s v="Equipo UCI"/>
    <s v="Rep_04"/>
    <n v="1"/>
    <n v="45000"/>
    <n v="27000"/>
    <n v="9.1999999999999998E-2"/>
    <x v="0"/>
    <n v="28"/>
    <n v="40860"/>
    <n v="40860"/>
    <n v="27000"/>
    <n v="13860"/>
    <n v="33.9"/>
    <n v="2.5000000000000001E-2"/>
    <n v="1021.5"/>
  </r>
  <r>
    <s v="TXN-0074"/>
    <x v="1"/>
    <x v="2"/>
    <x v="5"/>
    <s v="Público"/>
    <s v="Oxímetro Portátil"/>
    <s v="Diagnóstico"/>
    <s v="Rep_07"/>
    <n v="7"/>
    <n v="8500"/>
    <n v="5100"/>
    <n v="0.16800000000000001"/>
    <x v="1"/>
    <n v="8"/>
    <n v="7072"/>
    <n v="49504"/>
    <n v="35700"/>
    <n v="13804"/>
    <n v="27.9"/>
    <n v="2.5000000000000001E-2"/>
    <n v="1237.5999999999999"/>
  </r>
  <r>
    <s v="TXN-0075"/>
    <x v="3"/>
    <x v="4"/>
    <x v="6"/>
    <s v="Privado"/>
    <s v="Oxímetro Portátil"/>
    <s v="Diagnóstico"/>
    <s v="Rep_04"/>
    <n v="3"/>
    <n v="8500"/>
    <n v="5100"/>
    <n v="7.0999999999999994E-2"/>
    <x v="1"/>
    <n v="21"/>
    <n v="7896.5"/>
    <n v="23689.5"/>
    <n v="15300"/>
    <n v="8389.5"/>
    <n v="35.4"/>
    <n v="0.06"/>
    <n v="1421.37"/>
  </r>
  <r>
    <s v="TXN-0076"/>
    <x v="1"/>
    <x v="3"/>
    <x v="1"/>
    <s v="Privado"/>
    <s v="Desfibrilador"/>
    <s v="Emergencias"/>
    <s v="Rep_03"/>
    <n v="2"/>
    <n v="95000"/>
    <n v="57000"/>
    <n v="5.1999999999999998E-2"/>
    <x v="0"/>
    <n v="31"/>
    <n v="90060"/>
    <n v="180120"/>
    <n v="114000"/>
    <n v="66120"/>
    <n v="36.700000000000003"/>
    <n v="0.06"/>
    <n v="10807.2"/>
  </r>
  <r>
    <s v="TXN-0077"/>
    <x v="0"/>
    <x v="3"/>
    <x v="1"/>
    <s v="Privado"/>
    <s v="Monitor de Signos"/>
    <s v="Equipo UCI"/>
    <s v="Rep_06"/>
    <n v="5"/>
    <n v="45000"/>
    <n v="27000"/>
    <n v="0.01"/>
    <x v="0"/>
    <n v="15"/>
    <n v="44550"/>
    <n v="222750"/>
    <n v="135000"/>
    <n v="87750"/>
    <n v="39.4"/>
    <n v="0.06"/>
    <n v="13365"/>
  </r>
  <r>
    <s v="TXN-0078"/>
    <x v="3"/>
    <x v="0"/>
    <x v="5"/>
    <s v="Público"/>
    <s v="Ventilador Mecánico"/>
    <s v="Equipo UCI"/>
    <s v="Rep_07"/>
    <n v="1"/>
    <n v="180000"/>
    <n v="108000"/>
    <n v="4.3999999999999997E-2"/>
    <x v="0"/>
    <n v="15"/>
    <n v="172080"/>
    <n v="172080"/>
    <n v="108000"/>
    <n v="64080"/>
    <n v="37.200000000000003"/>
    <n v="2.5000000000000001E-2"/>
    <n v="4302"/>
  </r>
  <r>
    <s v="TXN-0079"/>
    <x v="0"/>
    <x v="0"/>
    <x v="4"/>
    <s v="Público"/>
    <s v="Bomba de Infusión"/>
    <s v="Medicación IV"/>
    <s v="Rep_02"/>
    <n v="9"/>
    <n v="28000"/>
    <n v="16800"/>
    <n v="0.161"/>
    <x v="0"/>
    <n v="18"/>
    <n v="23492"/>
    <n v="211428"/>
    <n v="151200"/>
    <n v="60228"/>
    <n v="28.5"/>
    <n v="2.5000000000000001E-2"/>
    <n v="5285.7"/>
  </r>
  <r>
    <s v="TXN-0080"/>
    <x v="1"/>
    <x v="2"/>
    <x v="1"/>
    <s v="Privado"/>
    <s v="Cama Hospitalaria"/>
    <s v="Mobiliario Clínico"/>
    <s v="Rep_01"/>
    <n v="4"/>
    <n v="22000"/>
    <n v="13200"/>
    <n v="8.9999999999999993E-3"/>
    <x v="0"/>
    <n v="34"/>
    <n v="21802"/>
    <n v="87208"/>
    <n v="52800"/>
    <n v="34408"/>
    <n v="39.5"/>
    <n v="0.06"/>
    <n v="5232.4799999999996"/>
  </r>
  <r>
    <s v="TXN-0081"/>
    <x v="3"/>
    <x v="1"/>
    <x v="3"/>
    <s v="Privado"/>
    <s v="Ventilador Mecánico"/>
    <s v="Equipo UCI"/>
    <s v="Rep_04"/>
    <n v="7"/>
    <n v="180000"/>
    <n v="108000"/>
    <n v="3.4000000000000002E-2"/>
    <x v="1"/>
    <n v="10"/>
    <n v="173880"/>
    <n v="1217160"/>
    <n v="756000"/>
    <n v="461160"/>
    <n v="37.9"/>
    <n v="0.06"/>
    <n v="73029.600000000006"/>
  </r>
  <r>
    <s v="TXN-0082"/>
    <x v="0"/>
    <x v="3"/>
    <x v="2"/>
    <s v="Público"/>
    <s v="Ventilador Mecánico"/>
    <s v="Equipo UCI"/>
    <s v="Rep_03"/>
    <n v="5"/>
    <n v="180000"/>
    <n v="108000"/>
    <n v="2.1000000000000001E-2"/>
    <x v="1"/>
    <n v="11"/>
    <n v="176220"/>
    <n v="881100"/>
    <n v="540000"/>
    <n v="341100"/>
    <n v="38.700000000000003"/>
    <n v="2.5000000000000001E-2"/>
    <n v="22027.5"/>
  </r>
  <r>
    <s v="TXN-0083"/>
    <x v="1"/>
    <x v="1"/>
    <x v="5"/>
    <s v="Público"/>
    <s v="Silla de Ruedas Elec."/>
    <s v="Rehabilitación"/>
    <s v="Rep_10"/>
    <n v="14"/>
    <n v="35000"/>
    <n v="21000"/>
    <n v="0.106"/>
    <x v="0"/>
    <n v="44"/>
    <n v="31290"/>
    <n v="438060"/>
    <n v="294000"/>
    <n v="144060"/>
    <n v="32.9"/>
    <n v="2.5000000000000001E-2"/>
    <n v="10951.5"/>
  </r>
  <r>
    <s v="TXN-0084"/>
    <x v="0"/>
    <x v="1"/>
    <x v="5"/>
    <s v="Público"/>
    <s v="Silla de Ruedas Elec."/>
    <s v="Rehabilitación"/>
    <s v="Rep_05"/>
    <n v="11"/>
    <n v="35000"/>
    <n v="21000"/>
    <n v="7.3999999999999996E-2"/>
    <x v="0"/>
    <n v="39"/>
    <n v="32410"/>
    <n v="356510"/>
    <n v="231000"/>
    <n v="125510"/>
    <n v="35.200000000000003"/>
    <n v="2.5000000000000001E-2"/>
    <n v="8912.75"/>
  </r>
  <r>
    <s v="TXN-0085"/>
    <x v="1"/>
    <x v="3"/>
    <x v="1"/>
    <s v="Privado"/>
    <s v="Electrocardiógrafo"/>
    <s v="Diagnóstico"/>
    <s v="Rep_03"/>
    <n v="14"/>
    <n v="32000"/>
    <n v="19200"/>
    <n v="1.2E-2"/>
    <x v="0"/>
    <n v="4"/>
    <n v="31616"/>
    <n v="442624"/>
    <n v="268800"/>
    <n v="173824"/>
    <n v="39.299999999999997"/>
    <n v="0.06"/>
    <n v="26557.439999999999"/>
  </r>
  <r>
    <s v="TXN-0086"/>
    <x v="2"/>
    <x v="3"/>
    <x v="5"/>
    <s v="Público"/>
    <s v="Bomba de Infusión"/>
    <s v="Medicación IV"/>
    <s v="Rep_10"/>
    <n v="10"/>
    <n v="28000"/>
    <n v="16800"/>
    <n v="8.0000000000000002E-3"/>
    <x v="0"/>
    <n v="5"/>
    <n v="27776"/>
    <n v="277760"/>
    <n v="168000"/>
    <n v="109760"/>
    <n v="39.5"/>
    <n v="2.5000000000000001E-2"/>
    <n v="6944"/>
  </r>
  <r>
    <s v="TXN-0087"/>
    <x v="0"/>
    <x v="3"/>
    <x v="1"/>
    <s v="Privado"/>
    <s v="Desfibrilador"/>
    <s v="Emergencias"/>
    <s v="Rep_04"/>
    <n v="2"/>
    <n v="95000"/>
    <n v="57000"/>
    <n v="8.6999999999999994E-2"/>
    <x v="1"/>
    <n v="11"/>
    <n v="86735"/>
    <n v="173470"/>
    <n v="114000"/>
    <n v="59470"/>
    <n v="34.299999999999997"/>
    <n v="0.06"/>
    <n v="10408.200000000001"/>
  </r>
  <r>
    <s v="TXN-0088"/>
    <x v="2"/>
    <x v="0"/>
    <x v="3"/>
    <s v="Privado"/>
    <s v="Oxímetro Portátil"/>
    <s v="Diagnóstico"/>
    <s v="Rep_06"/>
    <n v="7"/>
    <n v="8500"/>
    <n v="5100"/>
    <n v="3.9E-2"/>
    <x v="0"/>
    <n v="36"/>
    <n v="8168.5"/>
    <n v="57179.5"/>
    <n v="35700"/>
    <n v="21479.5"/>
    <n v="37.6"/>
    <n v="0.06"/>
    <n v="3430.77"/>
  </r>
  <r>
    <s v="TXN-0089"/>
    <x v="1"/>
    <x v="1"/>
    <x v="1"/>
    <s v="Privado"/>
    <s v="Desfibrilador"/>
    <s v="Emergencias"/>
    <s v="Rep_05"/>
    <n v="9"/>
    <n v="95000"/>
    <n v="57000"/>
    <n v="0.05"/>
    <x v="0"/>
    <n v="41"/>
    <n v="90250"/>
    <n v="812250"/>
    <n v="513000"/>
    <n v="299250"/>
    <n v="36.799999999999997"/>
    <n v="0.06"/>
    <n v="48735"/>
  </r>
  <r>
    <s v="TXN-0090"/>
    <x v="2"/>
    <x v="4"/>
    <x v="3"/>
    <s v="Privado"/>
    <s v="Desfibrilador"/>
    <s v="Emergencias"/>
    <s v="Rep_03"/>
    <n v="5"/>
    <n v="95000"/>
    <n v="57000"/>
    <n v="5.7000000000000002E-2"/>
    <x v="0"/>
    <n v="13"/>
    <n v="89585"/>
    <n v="447925"/>
    <n v="285000"/>
    <n v="162925"/>
    <n v="36.4"/>
    <n v="0.06"/>
    <n v="26875.5"/>
  </r>
  <r>
    <s v="TXN-0091"/>
    <x v="3"/>
    <x v="1"/>
    <x v="0"/>
    <s v="Privado"/>
    <s v="Bomba de Infusión"/>
    <s v="Medicación IV"/>
    <s v="Rep_05"/>
    <n v="13"/>
    <n v="28000"/>
    <n v="16800"/>
    <n v="3.6999999999999998E-2"/>
    <x v="0"/>
    <n v="23"/>
    <n v="26964"/>
    <n v="350532"/>
    <n v="218400"/>
    <n v="132132"/>
    <n v="37.700000000000003"/>
    <n v="0.06"/>
    <n v="21031.919999999998"/>
  </r>
  <r>
    <s v="TXN-0092"/>
    <x v="2"/>
    <x v="1"/>
    <x v="0"/>
    <s v="Privado"/>
    <s v="Cama Hospitalaria"/>
    <s v="Mobiliario Clínico"/>
    <s v="Rep_05"/>
    <n v="7"/>
    <n v="22000"/>
    <n v="13200"/>
    <n v="2.9000000000000001E-2"/>
    <x v="0"/>
    <n v="3"/>
    <n v="21362"/>
    <n v="149534"/>
    <n v="92400"/>
    <n v="57134"/>
    <n v="38.200000000000003"/>
    <n v="0.06"/>
    <n v="8972.0400000000009"/>
  </r>
  <r>
    <s v="TXN-0093"/>
    <x v="3"/>
    <x v="1"/>
    <x v="5"/>
    <s v="Público"/>
    <s v="Cama Hospitalaria"/>
    <s v="Mobiliario Clínico"/>
    <s v="Rep_02"/>
    <n v="3"/>
    <n v="22000"/>
    <n v="13200"/>
    <n v="0.11899999999999999"/>
    <x v="0"/>
    <n v="41"/>
    <n v="19382"/>
    <n v="58146"/>
    <n v="39600"/>
    <n v="18546"/>
    <n v="31.9"/>
    <n v="2.5000000000000001E-2"/>
    <n v="1453.65"/>
  </r>
  <r>
    <s v="TXN-0094"/>
    <x v="0"/>
    <x v="1"/>
    <x v="6"/>
    <s v="Privado"/>
    <s v="Silla de Ruedas Elec."/>
    <s v="Rehabilitación"/>
    <s v="Rep_02"/>
    <n v="12"/>
    <n v="35000"/>
    <n v="21000"/>
    <n v="1E-3"/>
    <x v="1"/>
    <n v="35"/>
    <n v="34965"/>
    <n v="419580"/>
    <n v="252000"/>
    <n v="167580"/>
    <n v="39.9"/>
    <n v="0.06"/>
    <n v="25174.799999999999"/>
  </r>
  <r>
    <s v="TXN-0095"/>
    <x v="1"/>
    <x v="0"/>
    <x v="1"/>
    <s v="Privado"/>
    <s v="Cama Hospitalaria"/>
    <s v="Mobiliario Clínico"/>
    <s v="Rep_07"/>
    <n v="12"/>
    <n v="22000"/>
    <n v="13200"/>
    <n v="6.0000000000000001E-3"/>
    <x v="0"/>
    <n v="11"/>
    <n v="21868"/>
    <n v="262416"/>
    <n v="158400"/>
    <n v="104016"/>
    <n v="39.6"/>
    <n v="0.06"/>
    <n v="15744.96"/>
  </r>
  <r>
    <s v="TXN-0096"/>
    <x v="1"/>
    <x v="1"/>
    <x v="1"/>
    <s v="Privado"/>
    <s v="Bomba de Infusión"/>
    <s v="Medicación IV"/>
    <s v="Rep_09"/>
    <n v="12"/>
    <n v="28000"/>
    <n v="16800"/>
    <n v="0.03"/>
    <x v="0"/>
    <n v="36"/>
    <n v="27160"/>
    <n v="325920"/>
    <n v="201600"/>
    <n v="124320"/>
    <n v="38.1"/>
    <n v="0.06"/>
    <n v="19555.2"/>
  </r>
  <r>
    <s v="TXN-0097"/>
    <x v="2"/>
    <x v="3"/>
    <x v="4"/>
    <s v="Público"/>
    <s v="Electrocardiógrafo"/>
    <s v="Diagnóstico"/>
    <s v="Rep_02"/>
    <n v="7"/>
    <n v="32000"/>
    <n v="19200"/>
    <n v="0.154"/>
    <x v="0"/>
    <n v="22"/>
    <n v="27072"/>
    <n v="189504"/>
    <n v="134400"/>
    <n v="55104"/>
    <n v="29.1"/>
    <n v="2.5000000000000001E-2"/>
    <n v="4737.6000000000004"/>
  </r>
  <r>
    <s v="TXN-0098"/>
    <x v="0"/>
    <x v="1"/>
    <x v="4"/>
    <s v="Público"/>
    <s v="Silla de Ruedas Elec."/>
    <s v="Rehabilitación"/>
    <s v="Rep_04"/>
    <n v="1"/>
    <n v="35000"/>
    <n v="21000"/>
    <n v="0.18"/>
    <x v="0"/>
    <n v="25"/>
    <n v="28700"/>
    <n v="28700"/>
    <n v="21000"/>
    <n v="7700"/>
    <n v="26.8"/>
    <n v="2.5000000000000001E-2"/>
    <n v="717.5"/>
  </r>
  <r>
    <s v="TXN-0099"/>
    <x v="2"/>
    <x v="3"/>
    <x v="5"/>
    <s v="Público"/>
    <s v="Cama Hospitalaria"/>
    <s v="Mobiliario Clínico"/>
    <s v="Rep_04"/>
    <n v="5"/>
    <n v="22000"/>
    <n v="13200"/>
    <n v="3.1E-2"/>
    <x v="1"/>
    <n v="18"/>
    <n v="21318"/>
    <n v="106590"/>
    <n v="66000"/>
    <n v="40590"/>
    <n v="38.1"/>
    <n v="2.5000000000000001E-2"/>
    <n v="2664.75"/>
  </r>
  <r>
    <s v="TXN-0100"/>
    <x v="3"/>
    <x v="0"/>
    <x v="5"/>
    <s v="Público"/>
    <s v="Desfibrilador"/>
    <s v="Emergencias"/>
    <s v="Rep_08"/>
    <n v="8"/>
    <n v="95000"/>
    <n v="57000"/>
    <n v="0.13300000000000001"/>
    <x v="1"/>
    <n v="18"/>
    <n v="82365"/>
    <n v="658920"/>
    <n v="456000"/>
    <n v="202920"/>
    <n v="30.8"/>
    <n v="2.5000000000000001E-2"/>
    <n v="16473"/>
  </r>
  <r>
    <s v="TXN-0101"/>
    <x v="3"/>
    <x v="0"/>
    <x v="6"/>
    <s v="Privado"/>
    <s v="Cama Hospitalaria"/>
    <s v="Mobiliario Clínico"/>
    <s v="Rep_08"/>
    <n v="9"/>
    <n v="22000"/>
    <n v="13200"/>
    <n v="1.7000000000000001E-2"/>
    <x v="1"/>
    <n v="30"/>
    <n v="21626"/>
    <n v="194634"/>
    <n v="118800"/>
    <n v="75834"/>
    <n v="39"/>
    <n v="0.06"/>
    <n v="11678.04"/>
  </r>
  <r>
    <s v="TXN-0102"/>
    <x v="1"/>
    <x v="1"/>
    <x v="5"/>
    <s v="Público"/>
    <s v="Desfibrilador"/>
    <s v="Emergencias"/>
    <s v="Rep_09"/>
    <n v="6"/>
    <n v="95000"/>
    <n v="57000"/>
    <n v="0.113"/>
    <x v="0"/>
    <n v="29"/>
    <n v="84265"/>
    <n v="505590"/>
    <n v="342000"/>
    <n v="163590"/>
    <n v="32.4"/>
    <n v="2.5000000000000001E-2"/>
    <n v="12639.75"/>
  </r>
  <r>
    <s v="TXN-0103"/>
    <x v="2"/>
    <x v="3"/>
    <x v="2"/>
    <s v="Público"/>
    <s v="Bomba de Infusión"/>
    <s v="Medicación IV"/>
    <s v="Rep_10"/>
    <n v="1"/>
    <n v="28000"/>
    <n v="16800"/>
    <n v="0.121"/>
    <x v="0"/>
    <n v="4"/>
    <n v="24612"/>
    <n v="24612"/>
    <n v="16800"/>
    <n v="7812"/>
    <n v="31.7"/>
    <n v="2.5000000000000001E-2"/>
    <n v="615.29999999999995"/>
  </r>
  <r>
    <s v="TXN-0104"/>
    <x v="1"/>
    <x v="1"/>
    <x v="1"/>
    <s v="Privado"/>
    <s v="Silla de Ruedas Elec."/>
    <s v="Rehabilitación"/>
    <s v="Rep_01"/>
    <n v="6"/>
    <n v="35000"/>
    <n v="21000"/>
    <n v="4.2000000000000003E-2"/>
    <x v="0"/>
    <n v="40"/>
    <n v="33530"/>
    <n v="201180"/>
    <n v="126000"/>
    <n v="75180"/>
    <n v="37.4"/>
    <n v="0.06"/>
    <n v="12070.8"/>
  </r>
  <r>
    <s v="TXN-0105"/>
    <x v="0"/>
    <x v="3"/>
    <x v="1"/>
    <s v="Privado"/>
    <s v="Silla de Ruedas Elec."/>
    <s v="Rehabilitación"/>
    <s v="Rep_02"/>
    <n v="6"/>
    <n v="35000"/>
    <n v="21000"/>
    <n v="7.5999999999999998E-2"/>
    <x v="0"/>
    <n v="5"/>
    <n v="32340"/>
    <n v="194040"/>
    <n v="126000"/>
    <n v="68040"/>
    <n v="35.1"/>
    <n v="0.06"/>
    <n v="11642.4"/>
  </r>
  <r>
    <s v="TXN-0106"/>
    <x v="1"/>
    <x v="1"/>
    <x v="6"/>
    <s v="Privado"/>
    <s v="Cama Hospitalaria"/>
    <s v="Mobiliario Clínico"/>
    <s v="Rep_10"/>
    <n v="2"/>
    <n v="22000"/>
    <n v="13200"/>
    <n v="8.6999999999999994E-2"/>
    <x v="0"/>
    <n v="27"/>
    <n v="20086"/>
    <n v="40172"/>
    <n v="26400"/>
    <n v="13772"/>
    <n v="34.299999999999997"/>
    <n v="0.06"/>
    <n v="2410.3200000000002"/>
  </r>
  <r>
    <s v="TXN-0107"/>
    <x v="0"/>
    <x v="3"/>
    <x v="4"/>
    <s v="Público"/>
    <s v="Electrocardiógrafo"/>
    <s v="Diagnóstico"/>
    <s v="Rep_07"/>
    <n v="11"/>
    <n v="32000"/>
    <n v="19200"/>
    <n v="0.17899999999999999"/>
    <x v="0"/>
    <n v="14"/>
    <n v="26272"/>
    <n v="288992"/>
    <n v="211200"/>
    <n v="77792"/>
    <n v="26.9"/>
    <n v="2.5000000000000001E-2"/>
    <n v="7224.8"/>
  </r>
  <r>
    <s v="TXN-0108"/>
    <x v="1"/>
    <x v="3"/>
    <x v="2"/>
    <s v="Público"/>
    <s v="Silla de Ruedas Elec."/>
    <s v="Rehabilitación"/>
    <s v="Rep_05"/>
    <n v="4"/>
    <n v="35000"/>
    <n v="21000"/>
    <n v="9.6000000000000002E-2"/>
    <x v="0"/>
    <n v="41"/>
    <n v="31640"/>
    <n v="126560"/>
    <n v="84000"/>
    <n v="42560"/>
    <n v="33.6"/>
    <n v="2.5000000000000001E-2"/>
    <n v="3164"/>
  </r>
  <r>
    <s v="TXN-0109"/>
    <x v="0"/>
    <x v="1"/>
    <x v="5"/>
    <s v="Público"/>
    <s v="Ventilador Mecánico"/>
    <s v="Equipo UCI"/>
    <s v="Rep_07"/>
    <n v="4"/>
    <n v="180000"/>
    <n v="108000"/>
    <n v="5.2999999999999999E-2"/>
    <x v="0"/>
    <n v="26"/>
    <n v="170460"/>
    <n v="681840"/>
    <n v="432000"/>
    <n v="249840"/>
    <n v="36.6"/>
    <n v="2.5000000000000001E-2"/>
    <n v="17046"/>
  </r>
  <r>
    <s v="TXN-0110"/>
    <x v="1"/>
    <x v="0"/>
    <x v="5"/>
    <s v="Público"/>
    <s v="Monitor de Signos"/>
    <s v="Equipo UCI"/>
    <s v="Rep_07"/>
    <n v="6"/>
    <n v="45000"/>
    <n v="27000"/>
    <n v="1.9E-2"/>
    <x v="0"/>
    <n v="11"/>
    <n v="44145"/>
    <n v="264870"/>
    <n v="162000"/>
    <n v="102870"/>
    <n v="38.799999999999997"/>
    <n v="2.5000000000000001E-2"/>
    <n v="6621.75"/>
  </r>
  <r>
    <s v="TXN-0111"/>
    <x v="1"/>
    <x v="4"/>
    <x v="4"/>
    <s v="Público"/>
    <s v="Monitor de Signos"/>
    <s v="Equipo UCI"/>
    <s v="Rep_03"/>
    <n v="2"/>
    <n v="45000"/>
    <n v="27000"/>
    <n v="0.13"/>
    <x v="0"/>
    <n v="22"/>
    <n v="39150"/>
    <n v="78300"/>
    <n v="54000"/>
    <n v="24300"/>
    <n v="31"/>
    <n v="2.5000000000000001E-2"/>
    <n v="1957.5"/>
  </r>
  <r>
    <s v="TXN-0112"/>
    <x v="3"/>
    <x v="1"/>
    <x v="5"/>
    <s v="Público"/>
    <s v="Bomba de Infusión"/>
    <s v="Medicación IV"/>
    <s v="Rep_09"/>
    <n v="3"/>
    <n v="28000"/>
    <n v="16800"/>
    <n v="1.7999999999999999E-2"/>
    <x v="0"/>
    <n v="10"/>
    <n v="27496"/>
    <n v="82488"/>
    <n v="50400"/>
    <n v="32088"/>
    <n v="38.9"/>
    <n v="2.5000000000000001E-2"/>
    <n v="2062.1999999999998"/>
  </r>
  <r>
    <s v="TXN-0113"/>
    <x v="1"/>
    <x v="4"/>
    <x v="0"/>
    <s v="Privado"/>
    <s v="Silla de Ruedas Elec."/>
    <s v="Rehabilitación"/>
    <s v="Rep_01"/>
    <n v="6"/>
    <n v="35000"/>
    <n v="21000"/>
    <n v="6.3E-2"/>
    <x v="1"/>
    <n v="33"/>
    <n v="32795"/>
    <n v="196770"/>
    <n v="126000"/>
    <n v="70770"/>
    <n v="36"/>
    <n v="0.06"/>
    <n v="11806.2"/>
  </r>
  <r>
    <s v="TXN-0114"/>
    <x v="3"/>
    <x v="0"/>
    <x v="3"/>
    <s v="Privado"/>
    <s v="Cama Hospitalaria"/>
    <s v="Mobiliario Clínico"/>
    <s v="Rep_02"/>
    <n v="8"/>
    <n v="22000"/>
    <n v="13200"/>
    <n v="0.01"/>
    <x v="1"/>
    <n v="21"/>
    <n v="21780"/>
    <n v="174240"/>
    <n v="105600"/>
    <n v="68640"/>
    <n v="39.4"/>
    <n v="0.06"/>
    <n v="10454.4"/>
  </r>
  <r>
    <s v="TXN-0115"/>
    <x v="0"/>
    <x v="0"/>
    <x v="2"/>
    <s v="Público"/>
    <s v="Electrocardiógrafo"/>
    <s v="Diagnóstico"/>
    <s v="Rep_09"/>
    <n v="1"/>
    <n v="32000"/>
    <n v="19200"/>
    <n v="0.18099999999999999"/>
    <x v="0"/>
    <n v="8"/>
    <n v="26208"/>
    <n v="26208"/>
    <n v="19200"/>
    <n v="7008"/>
    <n v="26.7"/>
    <n v="2.5000000000000001E-2"/>
    <n v="655.20000000000005"/>
  </r>
  <r>
    <s v="TXN-0116"/>
    <x v="1"/>
    <x v="1"/>
    <x v="2"/>
    <s v="Público"/>
    <s v="Desfibrilador"/>
    <s v="Emergencias"/>
    <s v="Rep_03"/>
    <n v="3"/>
    <n v="95000"/>
    <n v="57000"/>
    <n v="4.1000000000000002E-2"/>
    <x v="1"/>
    <n v="39"/>
    <n v="91105"/>
    <n v="273315"/>
    <n v="171000"/>
    <n v="102315"/>
    <n v="37.4"/>
    <n v="2.5000000000000001E-2"/>
    <n v="6832.88"/>
  </r>
  <r>
    <s v="TXN-0117"/>
    <x v="0"/>
    <x v="0"/>
    <x v="5"/>
    <s v="Público"/>
    <s v="Monitor de Signos"/>
    <s v="Equipo UCI"/>
    <s v="Rep_10"/>
    <n v="14"/>
    <n v="45000"/>
    <n v="27000"/>
    <n v="0.113"/>
    <x v="0"/>
    <n v="38"/>
    <n v="39915"/>
    <n v="558810"/>
    <n v="378000"/>
    <n v="180810"/>
    <n v="32.4"/>
    <n v="2.5000000000000001E-2"/>
    <n v="13970.25"/>
  </r>
  <r>
    <s v="TXN-0118"/>
    <x v="0"/>
    <x v="3"/>
    <x v="4"/>
    <s v="Público"/>
    <s v="Oxímetro Portátil"/>
    <s v="Diagnóstico"/>
    <s v="Rep_01"/>
    <n v="8"/>
    <n v="8500"/>
    <n v="5100"/>
    <n v="7.5999999999999998E-2"/>
    <x v="0"/>
    <n v="43"/>
    <n v="7854"/>
    <n v="62832"/>
    <n v="40800"/>
    <n v="22032"/>
    <n v="35.1"/>
    <n v="2.5000000000000001E-2"/>
    <n v="1570.8"/>
  </r>
  <r>
    <s v="TXN-0119"/>
    <x v="2"/>
    <x v="1"/>
    <x v="1"/>
    <s v="Privado"/>
    <s v="Oxímetro Portátil"/>
    <s v="Diagnóstico"/>
    <s v="Rep_04"/>
    <n v="8"/>
    <n v="8500"/>
    <n v="5100"/>
    <n v="6.0000000000000001E-3"/>
    <x v="0"/>
    <n v="35"/>
    <n v="8449"/>
    <n v="67592"/>
    <n v="40800"/>
    <n v="26792"/>
    <n v="39.6"/>
    <n v="0.06"/>
    <n v="4055.52"/>
  </r>
  <r>
    <s v="TXN-0120"/>
    <x v="2"/>
    <x v="1"/>
    <x v="0"/>
    <s v="Privado"/>
    <s v="Electrocardiógrafo"/>
    <s v="Diagnóstico"/>
    <s v="Rep_04"/>
    <n v="1"/>
    <n v="32000"/>
    <n v="19200"/>
    <n v="1E-3"/>
    <x v="0"/>
    <n v="24"/>
    <n v="31968"/>
    <n v="31968"/>
    <n v="19200"/>
    <n v="12768"/>
    <n v="39.9"/>
    <n v="0.06"/>
    <n v="1918.08"/>
  </r>
  <r>
    <s v="TXN-0121"/>
    <x v="3"/>
    <x v="2"/>
    <x v="4"/>
    <s v="Público"/>
    <s v="Desfibrilador"/>
    <s v="Emergencias"/>
    <s v="Rep_06"/>
    <n v="5"/>
    <n v="95000"/>
    <n v="57000"/>
    <n v="6.0999999999999999E-2"/>
    <x v="1"/>
    <n v="29"/>
    <n v="89205"/>
    <n v="446025"/>
    <n v="285000"/>
    <n v="161025"/>
    <n v="36.1"/>
    <n v="2.5000000000000001E-2"/>
    <n v="11150.62"/>
  </r>
  <r>
    <s v="TXN-0122"/>
    <x v="3"/>
    <x v="0"/>
    <x v="5"/>
    <s v="Público"/>
    <s v="Ventilador Mecánico"/>
    <s v="Equipo UCI"/>
    <s v="Rep_09"/>
    <n v="4"/>
    <n v="180000"/>
    <n v="108000"/>
    <n v="3.3000000000000002E-2"/>
    <x v="0"/>
    <n v="31"/>
    <n v="174060"/>
    <n v="696240"/>
    <n v="432000"/>
    <n v="264240"/>
    <n v="38"/>
    <n v="2.5000000000000001E-2"/>
    <n v="17406"/>
  </r>
  <r>
    <s v="TXN-0123"/>
    <x v="2"/>
    <x v="1"/>
    <x v="1"/>
    <s v="Privado"/>
    <s v="Ventilador Mecánico"/>
    <s v="Equipo UCI"/>
    <s v="Rep_05"/>
    <n v="7"/>
    <n v="180000"/>
    <n v="108000"/>
    <n v="0.05"/>
    <x v="0"/>
    <n v="5"/>
    <n v="171000"/>
    <n v="1197000"/>
    <n v="756000"/>
    <n v="441000"/>
    <n v="36.799999999999997"/>
    <n v="0.06"/>
    <n v="71820"/>
  </r>
  <r>
    <s v="TXN-0124"/>
    <x v="3"/>
    <x v="3"/>
    <x v="3"/>
    <s v="Privado"/>
    <s v="Bomba de Infusión"/>
    <s v="Medicación IV"/>
    <s v="Rep_01"/>
    <n v="6"/>
    <n v="28000"/>
    <n v="16800"/>
    <n v="8.0000000000000002E-3"/>
    <x v="1"/>
    <n v="4"/>
    <n v="27776"/>
    <n v="166656"/>
    <n v="100800"/>
    <n v="65856"/>
    <n v="39.5"/>
    <n v="0.06"/>
    <n v="9999.36"/>
  </r>
  <r>
    <s v="TXN-0125"/>
    <x v="1"/>
    <x v="2"/>
    <x v="0"/>
    <s v="Privado"/>
    <s v="Cama Hospitalaria"/>
    <s v="Mobiliario Clínico"/>
    <s v="Rep_07"/>
    <n v="3"/>
    <n v="22000"/>
    <n v="13200"/>
    <n v="3.0000000000000001E-3"/>
    <x v="0"/>
    <n v="38"/>
    <n v="21934"/>
    <n v="65802"/>
    <n v="39600"/>
    <n v="26202"/>
    <n v="39.799999999999997"/>
    <n v="0.06"/>
    <n v="3948.12"/>
  </r>
  <r>
    <s v="TXN-0126"/>
    <x v="3"/>
    <x v="3"/>
    <x v="1"/>
    <s v="Privado"/>
    <s v="Cama Hospitalaria"/>
    <s v="Mobiliario Clínico"/>
    <s v="Rep_10"/>
    <n v="9"/>
    <n v="22000"/>
    <n v="13200"/>
    <n v="3.1E-2"/>
    <x v="0"/>
    <n v="42"/>
    <n v="21318"/>
    <n v="191862"/>
    <n v="118800"/>
    <n v="73062"/>
    <n v="38.1"/>
    <n v="0.06"/>
    <n v="11511.72"/>
  </r>
  <r>
    <s v="TXN-0127"/>
    <x v="2"/>
    <x v="3"/>
    <x v="6"/>
    <s v="Privado"/>
    <s v="Desfibrilador"/>
    <s v="Emergencias"/>
    <s v="Rep_05"/>
    <n v="3"/>
    <n v="95000"/>
    <n v="57000"/>
    <n v="0.05"/>
    <x v="0"/>
    <n v="14"/>
    <n v="90250"/>
    <n v="270750"/>
    <n v="171000"/>
    <n v="99750"/>
    <n v="36.799999999999997"/>
    <n v="0.06"/>
    <n v="16245"/>
  </r>
  <r>
    <s v="TXN-0128"/>
    <x v="0"/>
    <x v="0"/>
    <x v="5"/>
    <s v="Público"/>
    <s v="Oxímetro Portátil"/>
    <s v="Diagnóstico"/>
    <s v="Rep_03"/>
    <n v="11"/>
    <n v="8500"/>
    <n v="5100"/>
    <n v="4.0000000000000001E-3"/>
    <x v="1"/>
    <n v="43"/>
    <n v="8466"/>
    <n v="93126"/>
    <n v="56100"/>
    <n v="37026"/>
    <n v="39.799999999999997"/>
    <n v="2.5000000000000001E-2"/>
    <n v="2328.15"/>
  </r>
  <r>
    <s v="TXN-0129"/>
    <x v="1"/>
    <x v="1"/>
    <x v="4"/>
    <s v="Público"/>
    <s v="Oxímetro Portátil"/>
    <s v="Diagnóstico"/>
    <s v="Rep_10"/>
    <n v="2"/>
    <n v="8500"/>
    <n v="5100"/>
    <n v="0.129"/>
    <x v="1"/>
    <n v="12"/>
    <n v="7403.5"/>
    <n v="14807"/>
    <n v="10200"/>
    <n v="4607"/>
    <n v="31.1"/>
    <n v="2.5000000000000001E-2"/>
    <n v="370.18"/>
  </r>
  <r>
    <s v="TXN-0130"/>
    <x v="2"/>
    <x v="1"/>
    <x v="2"/>
    <s v="Público"/>
    <s v="Oxímetro Portátil"/>
    <s v="Diagnóstico"/>
    <s v="Rep_06"/>
    <n v="6"/>
    <n v="8500"/>
    <n v="5100"/>
    <n v="0.158"/>
    <x v="0"/>
    <n v="35"/>
    <n v="7157"/>
    <n v="42942"/>
    <n v="30600"/>
    <n v="12342"/>
    <n v="28.7"/>
    <n v="2.5000000000000001E-2"/>
    <n v="1073.55"/>
  </r>
  <r>
    <s v="TXN-0131"/>
    <x v="1"/>
    <x v="2"/>
    <x v="4"/>
    <s v="Público"/>
    <s v="Silla de Ruedas Elec."/>
    <s v="Rehabilitación"/>
    <s v="Rep_04"/>
    <n v="7"/>
    <n v="35000"/>
    <n v="21000"/>
    <n v="0.11799999999999999"/>
    <x v="0"/>
    <n v="18"/>
    <n v="30870"/>
    <n v="216090"/>
    <n v="147000"/>
    <n v="69090"/>
    <n v="32"/>
    <n v="2.5000000000000001E-2"/>
    <n v="5402.25"/>
  </r>
  <r>
    <s v="TXN-0132"/>
    <x v="3"/>
    <x v="0"/>
    <x v="3"/>
    <s v="Privado"/>
    <s v="Silla de Ruedas Elec."/>
    <s v="Rehabilitación"/>
    <s v="Rep_07"/>
    <n v="5"/>
    <n v="35000"/>
    <n v="21000"/>
    <n v="6.4000000000000001E-2"/>
    <x v="0"/>
    <n v="40"/>
    <n v="32760"/>
    <n v="163800"/>
    <n v="105000"/>
    <n v="58800"/>
    <n v="35.9"/>
    <n v="0.06"/>
    <n v="9828"/>
  </r>
  <r>
    <s v="TXN-0133"/>
    <x v="0"/>
    <x v="2"/>
    <x v="5"/>
    <s v="Público"/>
    <s v="Cama Hospitalaria"/>
    <s v="Mobiliario Clínico"/>
    <s v="Rep_06"/>
    <n v="2"/>
    <n v="22000"/>
    <n v="13200"/>
    <n v="3.5000000000000003E-2"/>
    <x v="0"/>
    <n v="40"/>
    <n v="21230"/>
    <n v="42460"/>
    <n v="26400"/>
    <n v="16060"/>
    <n v="37.799999999999997"/>
    <n v="2.5000000000000001E-2"/>
    <n v="1061.5"/>
  </r>
  <r>
    <s v="TXN-0134"/>
    <x v="0"/>
    <x v="2"/>
    <x v="3"/>
    <s v="Privado"/>
    <s v="Cama Hospitalaria"/>
    <s v="Mobiliario Clínico"/>
    <s v="Rep_01"/>
    <n v="12"/>
    <n v="22000"/>
    <n v="13200"/>
    <n v="5.2999999999999999E-2"/>
    <x v="0"/>
    <n v="11"/>
    <n v="20834"/>
    <n v="250008"/>
    <n v="158400"/>
    <n v="91608"/>
    <n v="36.6"/>
    <n v="0.06"/>
    <n v="15000.48"/>
  </r>
  <r>
    <s v="TXN-0135"/>
    <x v="2"/>
    <x v="3"/>
    <x v="6"/>
    <s v="Privado"/>
    <s v="Cama Hospitalaria"/>
    <s v="Mobiliario Clínico"/>
    <s v="Rep_03"/>
    <n v="14"/>
    <n v="22000"/>
    <n v="13200"/>
    <n v="3.7999999999999999E-2"/>
    <x v="0"/>
    <n v="38"/>
    <n v="21164"/>
    <n v="296296"/>
    <n v="184800"/>
    <n v="111496"/>
    <n v="37.6"/>
    <n v="0.06"/>
    <n v="17777.759999999998"/>
  </r>
  <r>
    <s v="TXN-0136"/>
    <x v="1"/>
    <x v="3"/>
    <x v="5"/>
    <s v="Público"/>
    <s v="Desfibrilador"/>
    <s v="Emergencias"/>
    <s v="Rep_02"/>
    <n v="14"/>
    <n v="95000"/>
    <n v="57000"/>
    <n v="0.06"/>
    <x v="1"/>
    <n v="24"/>
    <n v="89300"/>
    <n v="1250200"/>
    <n v="798000"/>
    <n v="452200"/>
    <n v="36.200000000000003"/>
    <n v="2.5000000000000001E-2"/>
    <n v="31255"/>
  </r>
  <r>
    <s v="TXN-0137"/>
    <x v="3"/>
    <x v="1"/>
    <x v="5"/>
    <s v="Público"/>
    <s v="Ventilador Mecánico"/>
    <s v="Equipo UCI"/>
    <s v="Rep_01"/>
    <n v="7"/>
    <n v="180000"/>
    <n v="108000"/>
    <n v="0.129"/>
    <x v="1"/>
    <n v="21"/>
    <n v="156780"/>
    <n v="1097460"/>
    <n v="756000"/>
    <n v="341460"/>
    <n v="31.1"/>
    <n v="2.5000000000000001E-2"/>
    <n v="27436.5"/>
  </r>
  <r>
    <s v="TXN-0138"/>
    <x v="1"/>
    <x v="0"/>
    <x v="1"/>
    <s v="Privado"/>
    <s v="Bomba de Infusión"/>
    <s v="Medicación IV"/>
    <s v="Rep_01"/>
    <n v="9"/>
    <n v="28000"/>
    <n v="16800"/>
    <n v="3.7999999999999999E-2"/>
    <x v="0"/>
    <n v="33"/>
    <n v="26936"/>
    <n v="242424"/>
    <n v="151200"/>
    <n v="91224"/>
    <n v="37.6"/>
    <n v="0.06"/>
    <n v="14545.44"/>
  </r>
  <r>
    <s v="TXN-0139"/>
    <x v="1"/>
    <x v="1"/>
    <x v="3"/>
    <s v="Privado"/>
    <s v="Electrocardiógrafo"/>
    <s v="Diagnóstico"/>
    <s v="Rep_07"/>
    <n v="13"/>
    <n v="32000"/>
    <n v="19200"/>
    <n v="8.9999999999999993E-3"/>
    <x v="1"/>
    <n v="4"/>
    <n v="31712"/>
    <n v="412256"/>
    <n v="249600"/>
    <n v="162656"/>
    <n v="39.5"/>
    <n v="0.06"/>
    <n v="24735.360000000001"/>
  </r>
  <r>
    <s v="TXN-0140"/>
    <x v="3"/>
    <x v="0"/>
    <x v="3"/>
    <s v="Privado"/>
    <s v="Oxímetro Portátil"/>
    <s v="Diagnóstico"/>
    <s v="Rep_07"/>
    <n v="7"/>
    <n v="8500"/>
    <n v="5100"/>
    <n v="4.2000000000000003E-2"/>
    <x v="0"/>
    <n v="8"/>
    <n v="8143"/>
    <n v="57001"/>
    <n v="35700"/>
    <n v="21301"/>
    <n v="37.4"/>
    <n v="0.06"/>
    <n v="3420.06"/>
  </r>
  <r>
    <s v="TXN-0141"/>
    <x v="1"/>
    <x v="3"/>
    <x v="1"/>
    <s v="Privado"/>
    <s v="Oxímetro Portátil"/>
    <s v="Diagnóstico"/>
    <s v="Rep_02"/>
    <n v="1"/>
    <n v="8500"/>
    <n v="5100"/>
    <n v="1.0999999999999999E-2"/>
    <x v="0"/>
    <n v="44"/>
    <n v="8406.5"/>
    <n v="8406.5"/>
    <n v="5100"/>
    <n v="3306.5"/>
    <n v="39.299999999999997"/>
    <n v="0.06"/>
    <n v="504.39"/>
  </r>
  <r>
    <s v="TXN-0142"/>
    <x v="0"/>
    <x v="3"/>
    <x v="5"/>
    <s v="Público"/>
    <s v="Bomba de Infusión"/>
    <s v="Medicación IV"/>
    <s v="Rep_10"/>
    <n v="14"/>
    <n v="28000"/>
    <n v="16800"/>
    <n v="6.0000000000000001E-3"/>
    <x v="0"/>
    <n v="32"/>
    <n v="27832"/>
    <n v="389648"/>
    <n v="235200"/>
    <n v="154448"/>
    <n v="39.6"/>
    <n v="2.5000000000000001E-2"/>
    <n v="9741.2000000000007"/>
  </r>
  <r>
    <s v="TXN-0143"/>
    <x v="0"/>
    <x v="0"/>
    <x v="4"/>
    <s v="Público"/>
    <s v="Ventilador Mecánico"/>
    <s v="Equipo UCI"/>
    <s v="Rep_06"/>
    <n v="12"/>
    <n v="180000"/>
    <n v="108000"/>
    <n v="0.11"/>
    <x v="0"/>
    <n v="44"/>
    <n v="160200"/>
    <n v="1922400"/>
    <n v="1296000"/>
    <n v="626400"/>
    <n v="32.6"/>
    <n v="2.5000000000000001E-2"/>
    <n v="48060"/>
  </r>
  <r>
    <s v="TXN-0144"/>
    <x v="1"/>
    <x v="2"/>
    <x v="5"/>
    <s v="Público"/>
    <s v="Desfibrilador"/>
    <s v="Emergencias"/>
    <s v="Rep_08"/>
    <n v="12"/>
    <n v="95000"/>
    <n v="57000"/>
    <n v="0.01"/>
    <x v="0"/>
    <n v="24"/>
    <n v="94050"/>
    <n v="1128600"/>
    <n v="684000"/>
    <n v="444600"/>
    <n v="39.4"/>
    <n v="2.5000000000000001E-2"/>
    <n v="28215"/>
  </r>
  <r>
    <s v="TXN-0145"/>
    <x v="0"/>
    <x v="2"/>
    <x v="2"/>
    <s v="Público"/>
    <s v="Monitor de Signos"/>
    <s v="Equipo UCI"/>
    <s v="Rep_09"/>
    <n v="9"/>
    <n v="45000"/>
    <n v="27000"/>
    <n v="9.1999999999999998E-2"/>
    <x v="0"/>
    <n v="23"/>
    <n v="40860"/>
    <n v="367740"/>
    <n v="243000"/>
    <n v="124740"/>
    <n v="33.9"/>
    <n v="2.5000000000000001E-2"/>
    <n v="9193.5"/>
  </r>
  <r>
    <s v="TXN-0146"/>
    <x v="1"/>
    <x v="1"/>
    <x v="5"/>
    <s v="Público"/>
    <s v="Silla de Ruedas Elec."/>
    <s v="Rehabilitación"/>
    <s v="Rep_09"/>
    <n v="2"/>
    <n v="35000"/>
    <n v="21000"/>
    <n v="0.122"/>
    <x v="0"/>
    <n v="15"/>
    <n v="30730"/>
    <n v="61460"/>
    <n v="42000"/>
    <n v="19460"/>
    <n v="31.7"/>
    <n v="2.5000000000000001E-2"/>
    <n v="1536.5"/>
  </r>
  <r>
    <s v="TXN-0147"/>
    <x v="3"/>
    <x v="1"/>
    <x v="4"/>
    <s v="Público"/>
    <s v="Oxímetro Portátil"/>
    <s v="Diagnóstico"/>
    <s v="Rep_01"/>
    <n v="12"/>
    <n v="8500"/>
    <n v="5100"/>
    <n v="0.16"/>
    <x v="0"/>
    <n v="35"/>
    <n v="7140"/>
    <n v="85680"/>
    <n v="61200"/>
    <n v="24480"/>
    <n v="28.6"/>
    <n v="2.5000000000000001E-2"/>
    <n v="2142"/>
  </r>
  <r>
    <s v="TXN-0148"/>
    <x v="3"/>
    <x v="4"/>
    <x v="5"/>
    <s v="Público"/>
    <s v="Silla de Ruedas Elec."/>
    <s v="Rehabilitación"/>
    <s v="Rep_06"/>
    <n v="3"/>
    <n v="35000"/>
    <n v="21000"/>
    <n v="0.17100000000000001"/>
    <x v="0"/>
    <n v="11"/>
    <n v="29015"/>
    <n v="87045"/>
    <n v="63000"/>
    <n v="24045"/>
    <n v="27.6"/>
    <n v="2.5000000000000001E-2"/>
    <n v="2176.12"/>
  </r>
  <r>
    <s v="TXN-0149"/>
    <x v="1"/>
    <x v="3"/>
    <x v="0"/>
    <s v="Privado"/>
    <s v="Cama Hospitalaria"/>
    <s v="Mobiliario Clínico"/>
    <s v="Rep_05"/>
    <n v="1"/>
    <n v="22000"/>
    <n v="13200"/>
    <n v="0.06"/>
    <x v="1"/>
    <n v="37"/>
    <n v="20680"/>
    <n v="20680"/>
    <n v="13200"/>
    <n v="7480"/>
    <n v="36.200000000000003"/>
    <n v="0.06"/>
    <n v="1240.8"/>
  </r>
  <r>
    <s v="TXN-0150"/>
    <x v="2"/>
    <x v="2"/>
    <x v="1"/>
    <s v="Privado"/>
    <s v="Silla de Ruedas Elec."/>
    <s v="Rehabilitación"/>
    <s v="Rep_09"/>
    <n v="3"/>
    <n v="35000"/>
    <n v="21000"/>
    <n v="8.9999999999999993E-3"/>
    <x v="0"/>
    <n v="13"/>
    <n v="34685"/>
    <n v="104055"/>
    <n v="63000"/>
    <n v="41055"/>
    <n v="39.5"/>
    <n v="0.06"/>
    <n v="6243.3"/>
  </r>
  <r>
    <s v="TXN-0151"/>
    <x v="2"/>
    <x v="3"/>
    <x v="5"/>
    <s v="Público"/>
    <s v="Oxímetro Portátil"/>
    <s v="Diagnóstico"/>
    <s v="Rep_06"/>
    <n v="5"/>
    <n v="8500"/>
    <n v="5100"/>
    <n v="0.184"/>
    <x v="1"/>
    <n v="36"/>
    <n v="6936"/>
    <n v="34680"/>
    <n v="25500"/>
    <n v="9180"/>
    <n v="26.5"/>
    <n v="2.5000000000000001E-2"/>
    <n v="867"/>
  </r>
  <r>
    <s v="TXN-0152"/>
    <x v="2"/>
    <x v="0"/>
    <x v="4"/>
    <s v="Público"/>
    <s v="Ventilador Mecánico"/>
    <s v="Equipo UCI"/>
    <s v="Rep_04"/>
    <n v="4"/>
    <n v="180000"/>
    <n v="108000"/>
    <n v="0.08"/>
    <x v="0"/>
    <n v="28"/>
    <n v="165600"/>
    <n v="662400"/>
    <n v="432000"/>
    <n v="230400"/>
    <n v="34.799999999999997"/>
    <n v="2.5000000000000001E-2"/>
    <n v="16560"/>
  </r>
  <r>
    <s v="TXN-0153"/>
    <x v="1"/>
    <x v="1"/>
    <x v="5"/>
    <s v="Público"/>
    <s v="Monitor de Signos"/>
    <s v="Equipo UCI"/>
    <s v="Rep_05"/>
    <n v="10"/>
    <n v="45000"/>
    <n v="27000"/>
    <n v="0.157"/>
    <x v="0"/>
    <n v="5"/>
    <n v="37935"/>
    <n v="379350"/>
    <n v="270000"/>
    <n v="109350"/>
    <n v="28.8"/>
    <n v="2.5000000000000001E-2"/>
    <n v="9483.75"/>
  </r>
  <r>
    <s v="TXN-0154"/>
    <x v="1"/>
    <x v="0"/>
    <x v="5"/>
    <s v="Público"/>
    <s v="Silla de Ruedas Elec."/>
    <s v="Rehabilitación"/>
    <s v="Rep_04"/>
    <n v="7"/>
    <n v="35000"/>
    <n v="21000"/>
    <n v="4.7E-2"/>
    <x v="0"/>
    <n v="31"/>
    <n v="33355"/>
    <n v="233485"/>
    <n v="147000"/>
    <n v="86485"/>
    <n v="37"/>
    <n v="2.5000000000000001E-2"/>
    <n v="5837.12"/>
  </r>
  <r>
    <s v="TXN-0155"/>
    <x v="3"/>
    <x v="1"/>
    <x v="2"/>
    <s v="Público"/>
    <s v="Oxímetro Portátil"/>
    <s v="Diagnóstico"/>
    <s v="Rep_04"/>
    <n v="13"/>
    <n v="8500"/>
    <n v="5100"/>
    <n v="0.188"/>
    <x v="0"/>
    <n v="35"/>
    <n v="6902"/>
    <n v="89726"/>
    <n v="66300"/>
    <n v="23426"/>
    <n v="26.1"/>
    <n v="2.5000000000000001E-2"/>
    <n v="2243.15"/>
  </r>
  <r>
    <s v="TXN-0156"/>
    <x v="0"/>
    <x v="0"/>
    <x v="2"/>
    <s v="Público"/>
    <s v="Monitor de Signos"/>
    <s v="Equipo UCI"/>
    <s v="Rep_06"/>
    <n v="2"/>
    <n v="45000"/>
    <n v="27000"/>
    <n v="0.17599999999999999"/>
    <x v="0"/>
    <n v="4"/>
    <n v="37080"/>
    <n v="74160"/>
    <n v="54000"/>
    <n v="20160"/>
    <n v="27.2"/>
    <n v="2.5000000000000001E-2"/>
    <n v="1854"/>
  </r>
  <r>
    <s v="TXN-0157"/>
    <x v="1"/>
    <x v="1"/>
    <x v="6"/>
    <s v="Privado"/>
    <s v="Desfibrilador"/>
    <s v="Emergencias"/>
    <s v="Rep_07"/>
    <n v="7"/>
    <n v="95000"/>
    <n v="57000"/>
    <n v="3.4000000000000002E-2"/>
    <x v="0"/>
    <n v="33"/>
    <n v="91770"/>
    <n v="642390"/>
    <n v="399000"/>
    <n v="243390"/>
    <n v="37.9"/>
    <n v="0.06"/>
    <n v="38543.4"/>
  </r>
  <r>
    <s v="TXN-0158"/>
    <x v="3"/>
    <x v="0"/>
    <x v="1"/>
    <s v="Privado"/>
    <s v="Desfibrilador"/>
    <s v="Emergencias"/>
    <s v="Rep_06"/>
    <n v="13"/>
    <n v="95000"/>
    <n v="57000"/>
    <n v="2.8000000000000001E-2"/>
    <x v="0"/>
    <n v="40"/>
    <n v="92340"/>
    <n v="1200420"/>
    <n v="741000"/>
    <n v="459420"/>
    <n v="38.299999999999997"/>
    <n v="0.06"/>
    <n v="72025.2"/>
  </r>
  <r>
    <s v="TXN-0159"/>
    <x v="1"/>
    <x v="0"/>
    <x v="4"/>
    <s v="Público"/>
    <s v="Silla de Ruedas Elec."/>
    <s v="Rehabilitación"/>
    <s v="Rep_04"/>
    <n v="8"/>
    <n v="35000"/>
    <n v="21000"/>
    <n v="0.17199999999999999"/>
    <x v="0"/>
    <n v="20"/>
    <n v="28980"/>
    <n v="231840"/>
    <n v="168000"/>
    <n v="63840"/>
    <n v="27.5"/>
    <n v="2.5000000000000001E-2"/>
    <n v="5796"/>
  </r>
  <r>
    <s v="TXN-0160"/>
    <x v="3"/>
    <x v="3"/>
    <x v="1"/>
    <s v="Privado"/>
    <s v="Oxímetro Portátil"/>
    <s v="Diagnóstico"/>
    <s v="Rep_06"/>
    <n v="14"/>
    <n v="8500"/>
    <n v="5100"/>
    <n v="5.1999999999999998E-2"/>
    <x v="0"/>
    <n v="9"/>
    <n v="8058"/>
    <n v="112812"/>
    <n v="71400"/>
    <n v="41412"/>
    <n v="36.700000000000003"/>
    <n v="0.06"/>
    <n v="6768.72"/>
  </r>
  <r>
    <s v="TXN-0161"/>
    <x v="3"/>
    <x v="4"/>
    <x v="1"/>
    <s v="Privado"/>
    <s v="Monitor de Signos"/>
    <s v="Equipo UCI"/>
    <s v="Rep_09"/>
    <n v="6"/>
    <n v="45000"/>
    <n v="27000"/>
    <n v="2.5999999999999999E-2"/>
    <x v="0"/>
    <n v="33"/>
    <n v="43830"/>
    <n v="262980"/>
    <n v="162000"/>
    <n v="100980"/>
    <n v="38.4"/>
    <n v="0.06"/>
    <n v="15778.8"/>
  </r>
  <r>
    <s v="TXN-0162"/>
    <x v="0"/>
    <x v="1"/>
    <x v="1"/>
    <s v="Privado"/>
    <s v="Ventilador Mecánico"/>
    <s v="Equipo UCI"/>
    <s v="Rep_01"/>
    <n v="5"/>
    <n v="180000"/>
    <n v="108000"/>
    <n v="2.9000000000000001E-2"/>
    <x v="0"/>
    <n v="11"/>
    <n v="174780"/>
    <n v="873900"/>
    <n v="540000"/>
    <n v="333900"/>
    <n v="38.200000000000003"/>
    <n v="0.06"/>
    <n v="52434"/>
  </r>
  <r>
    <s v="TXN-0163"/>
    <x v="1"/>
    <x v="0"/>
    <x v="4"/>
    <s v="Público"/>
    <s v="Desfibrilador"/>
    <s v="Emergencias"/>
    <s v="Rep_06"/>
    <n v="10"/>
    <n v="95000"/>
    <n v="57000"/>
    <n v="0.15"/>
    <x v="1"/>
    <n v="31"/>
    <n v="80750"/>
    <n v="807500"/>
    <n v="570000"/>
    <n v="237500"/>
    <n v="29.4"/>
    <n v="2.5000000000000001E-2"/>
    <n v="20187.5"/>
  </r>
  <r>
    <s v="TXN-0164"/>
    <x v="2"/>
    <x v="3"/>
    <x v="3"/>
    <s v="Privado"/>
    <s v="Oxímetro Portátil"/>
    <s v="Diagnóstico"/>
    <s v="Rep_05"/>
    <n v="5"/>
    <n v="8500"/>
    <n v="5100"/>
    <n v="2.7E-2"/>
    <x v="0"/>
    <n v="40"/>
    <n v="8270.5"/>
    <n v="41352.5"/>
    <n v="25500"/>
    <n v="15852.5"/>
    <n v="38.299999999999997"/>
    <n v="0.06"/>
    <n v="2481.15"/>
  </r>
  <r>
    <s v="TXN-0165"/>
    <x v="1"/>
    <x v="0"/>
    <x v="5"/>
    <s v="Público"/>
    <s v="Bomba de Infusión"/>
    <s v="Medicación IV"/>
    <s v="Rep_05"/>
    <n v="6"/>
    <n v="28000"/>
    <n v="16800"/>
    <n v="0.18099999999999999"/>
    <x v="0"/>
    <n v="40"/>
    <n v="22932"/>
    <n v="137592"/>
    <n v="100800"/>
    <n v="36792"/>
    <n v="26.7"/>
    <n v="2.5000000000000001E-2"/>
    <n v="3439.8"/>
  </r>
  <r>
    <s v="TXN-0166"/>
    <x v="3"/>
    <x v="2"/>
    <x v="1"/>
    <s v="Privado"/>
    <s v="Monitor de Signos"/>
    <s v="Equipo UCI"/>
    <s v="Rep_04"/>
    <n v="12"/>
    <n v="45000"/>
    <n v="27000"/>
    <n v="3.6999999999999998E-2"/>
    <x v="0"/>
    <n v="29"/>
    <n v="43335"/>
    <n v="520020"/>
    <n v="324000"/>
    <n v="196020"/>
    <n v="37.700000000000003"/>
    <n v="0.06"/>
    <n v="31201.200000000001"/>
  </r>
  <r>
    <s v="TXN-0167"/>
    <x v="3"/>
    <x v="3"/>
    <x v="5"/>
    <s v="Público"/>
    <s v="Bomba de Infusión"/>
    <s v="Medicación IV"/>
    <s v="Rep_01"/>
    <n v="8"/>
    <n v="28000"/>
    <n v="16800"/>
    <n v="5.8000000000000003E-2"/>
    <x v="0"/>
    <n v="10"/>
    <n v="26376"/>
    <n v="211008"/>
    <n v="134400"/>
    <n v="76608"/>
    <n v="36.299999999999997"/>
    <n v="2.5000000000000001E-2"/>
    <n v="5275.2"/>
  </r>
  <r>
    <s v="TXN-0168"/>
    <x v="3"/>
    <x v="3"/>
    <x v="5"/>
    <s v="Público"/>
    <s v="Electrocardiógrafo"/>
    <s v="Diagnóstico"/>
    <s v="Rep_01"/>
    <n v="3"/>
    <n v="32000"/>
    <n v="19200"/>
    <n v="0.16600000000000001"/>
    <x v="0"/>
    <n v="31"/>
    <n v="26688"/>
    <n v="80064"/>
    <n v="57600"/>
    <n v="22464"/>
    <n v="28.1"/>
    <n v="2.5000000000000001E-2"/>
    <n v="2001.6"/>
  </r>
  <r>
    <s v="TXN-0169"/>
    <x v="1"/>
    <x v="1"/>
    <x v="0"/>
    <s v="Privado"/>
    <s v="Ventilador Mecánico"/>
    <s v="Equipo UCI"/>
    <s v="Rep_09"/>
    <n v="7"/>
    <n v="180000"/>
    <n v="108000"/>
    <n v="7.0000000000000001E-3"/>
    <x v="0"/>
    <n v="7"/>
    <n v="178740"/>
    <n v="1251180"/>
    <n v="756000"/>
    <n v="495180"/>
    <n v="39.6"/>
    <n v="0.06"/>
    <n v="75070.8"/>
  </r>
  <r>
    <s v="TXN-0170"/>
    <x v="2"/>
    <x v="1"/>
    <x v="2"/>
    <s v="Público"/>
    <s v="Oxímetro Portátil"/>
    <s v="Diagnóstico"/>
    <s v="Rep_01"/>
    <n v="13"/>
    <n v="8500"/>
    <n v="5100"/>
    <n v="4.3999999999999997E-2"/>
    <x v="1"/>
    <n v="9"/>
    <n v="8126"/>
    <n v="105638"/>
    <n v="66300"/>
    <n v="39338"/>
    <n v="37.200000000000003"/>
    <n v="2.5000000000000001E-2"/>
    <n v="2640.95"/>
  </r>
  <r>
    <s v="TXN-0171"/>
    <x v="1"/>
    <x v="1"/>
    <x v="3"/>
    <s v="Privado"/>
    <s v="Bomba de Infusión"/>
    <s v="Medicación IV"/>
    <s v="Rep_04"/>
    <n v="11"/>
    <n v="28000"/>
    <n v="16800"/>
    <n v="6.6000000000000003E-2"/>
    <x v="0"/>
    <n v="35"/>
    <n v="26152"/>
    <n v="287672"/>
    <n v="184800"/>
    <n v="102872"/>
    <n v="35.799999999999997"/>
    <n v="0.06"/>
    <n v="17260.32"/>
  </r>
  <r>
    <s v="TXN-0172"/>
    <x v="0"/>
    <x v="3"/>
    <x v="3"/>
    <s v="Privado"/>
    <s v="Monitor de Signos"/>
    <s v="Equipo UCI"/>
    <s v="Rep_10"/>
    <n v="5"/>
    <n v="45000"/>
    <n v="27000"/>
    <n v="2.1000000000000001E-2"/>
    <x v="0"/>
    <n v="29"/>
    <n v="44055"/>
    <n v="220275"/>
    <n v="135000"/>
    <n v="85275"/>
    <n v="38.700000000000003"/>
    <n v="0.06"/>
    <n v="13216.5"/>
  </r>
  <r>
    <s v="TXN-0173"/>
    <x v="1"/>
    <x v="1"/>
    <x v="3"/>
    <s v="Privado"/>
    <s v="Silla de Ruedas Elec."/>
    <s v="Rehabilitación"/>
    <s v="Rep_02"/>
    <n v="5"/>
    <n v="35000"/>
    <n v="21000"/>
    <n v="6.3E-2"/>
    <x v="0"/>
    <n v="26"/>
    <n v="32795"/>
    <n v="163975"/>
    <n v="105000"/>
    <n v="58975"/>
    <n v="36"/>
    <n v="0.06"/>
    <n v="9838.5"/>
  </r>
  <r>
    <s v="TXN-0174"/>
    <x v="0"/>
    <x v="0"/>
    <x v="2"/>
    <s v="Público"/>
    <s v="Oxímetro Portátil"/>
    <s v="Diagnóstico"/>
    <s v="Rep_05"/>
    <n v="6"/>
    <n v="8500"/>
    <n v="5100"/>
    <n v="1.9E-2"/>
    <x v="0"/>
    <n v="7"/>
    <n v="8338.5"/>
    <n v="50031"/>
    <n v="30600"/>
    <n v="19431"/>
    <n v="38.799999999999997"/>
    <n v="2.5000000000000001E-2"/>
    <n v="1250.78"/>
  </r>
  <r>
    <s v="TXN-0175"/>
    <x v="1"/>
    <x v="2"/>
    <x v="6"/>
    <s v="Privado"/>
    <s v="Silla de Ruedas Elec."/>
    <s v="Rehabilitación"/>
    <s v="Rep_10"/>
    <n v="8"/>
    <n v="35000"/>
    <n v="21000"/>
    <n v="8.7999999999999995E-2"/>
    <x v="1"/>
    <n v="40"/>
    <n v="31920"/>
    <n v="255360"/>
    <n v="168000"/>
    <n v="87360"/>
    <n v="34.200000000000003"/>
    <n v="0.06"/>
    <n v="15321.6"/>
  </r>
  <r>
    <s v="TXN-0176"/>
    <x v="2"/>
    <x v="2"/>
    <x v="5"/>
    <s v="Público"/>
    <s v="Ventilador Mecánico"/>
    <s v="Equipo UCI"/>
    <s v="Rep_05"/>
    <n v="10"/>
    <n v="180000"/>
    <n v="108000"/>
    <n v="0.16"/>
    <x v="0"/>
    <n v="6"/>
    <n v="151200"/>
    <n v="1512000"/>
    <n v="1080000"/>
    <n v="432000"/>
    <n v="28.6"/>
    <n v="2.5000000000000001E-2"/>
    <n v="37800"/>
  </r>
  <r>
    <s v="TXN-0177"/>
    <x v="1"/>
    <x v="0"/>
    <x v="4"/>
    <s v="Público"/>
    <s v="Silla de Ruedas Elec."/>
    <s v="Rehabilitación"/>
    <s v="Rep_06"/>
    <n v="9"/>
    <n v="35000"/>
    <n v="21000"/>
    <n v="0.17100000000000001"/>
    <x v="1"/>
    <n v="37"/>
    <n v="29015"/>
    <n v="261135"/>
    <n v="189000"/>
    <n v="72135"/>
    <n v="27.6"/>
    <n v="2.5000000000000001E-2"/>
    <n v="6528.38"/>
  </r>
  <r>
    <s v="TXN-0178"/>
    <x v="3"/>
    <x v="0"/>
    <x v="5"/>
    <s v="Público"/>
    <s v="Monitor de Signos"/>
    <s v="Equipo UCI"/>
    <s v="Rep_06"/>
    <n v="8"/>
    <n v="45000"/>
    <n v="27000"/>
    <n v="8.6999999999999994E-2"/>
    <x v="0"/>
    <n v="30"/>
    <n v="41085"/>
    <n v="328680"/>
    <n v="216000"/>
    <n v="112680"/>
    <n v="34.299999999999997"/>
    <n v="2.5000000000000001E-2"/>
    <n v="8217"/>
  </r>
  <r>
    <s v="TXN-0179"/>
    <x v="2"/>
    <x v="1"/>
    <x v="2"/>
    <s v="Público"/>
    <s v="Bomba de Infusión"/>
    <s v="Medicación IV"/>
    <s v="Rep_01"/>
    <n v="7"/>
    <n v="28000"/>
    <n v="16800"/>
    <n v="0.21"/>
    <x v="0"/>
    <n v="14"/>
    <n v="22120"/>
    <n v="154840"/>
    <n v="117600"/>
    <n v="37240"/>
    <n v="24.1"/>
    <n v="2.5000000000000001E-2"/>
    <n v="3871"/>
  </r>
  <r>
    <s v="TXN-0180"/>
    <x v="2"/>
    <x v="2"/>
    <x v="5"/>
    <s v="Público"/>
    <s v="Monitor de Signos"/>
    <s v="Equipo UCI"/>
    <s v="Rep_08"/>
    <n v="2"/>
    <n v="45000"/>
    <n v="27000"/>
    <n v="0.161"/>
    <x v="0"/>
    <n v="35"/>
    <n v="37755"/>
    <n v="75510"/>
    <n v="54000"/>
    <n v="21510"/>
    <n v="28.5"/>
    <n v="2.5000000000000001E-2"/>
    <n v="1887.75"/>
  </r>
  <r>
    <s v="TXN-0181"/>
    <x v="1"/>
    <x v="2"/>
    <x v="4"/>
    <s v="Público"/>
    <s v="Cama Hospitalaria"/>
    <s v="Mobiliario Clínico"/>
    <s v="Rep_09"/>
    <n v="7"/>
    <n v="22000"/>
    <n v="13200"/>
    <n v="0.14000000000000001"/>
    <x v="1"/>
    <n v="6"/>
    <n v="18920"/>
    <n v="132440"/>
    <n v="92400"/>
    <n v="40040"/>
    <n v="30.2"/>
    <n v="2.5000000000000001E-2"/>
    <n v="3311"/>
  </r>
  <r>
    <s v="TXN-0182"/>
    <x v="1"/>
    <x v="3"/>
    <x v="1"/>
    <s v="Privado"/>
    <s v="Oxímetro Portátil"/>
    <s v="Diagnóstico"/>
    <s v="Rep_01"/>
    <n v="5"/>
    <n v="8500"/>
    <n v="5100"/>
    <n v="1.0999999999999999E-2"/>
    <x v="1"/>
    <n v="35"/>
    <n v="8406.5"/>
    <n v="42032.5"/>
    <n v="25500"/>
    <n v="16532.5"/>
    <n v="39.299999999999997"/>
    <n v="0.06"/>
    <n v="2521.9499999999998"/>
  </r>
  <r>
    <s v="TXN-0183"/>
    <x v="3"/>
    <x v="0"/>
    <x v="5"/>
    <s v="Público"/>
    <s v="Cama Hospitalaria"/>
    <s v="Mobiliario Clínico"/>
    <s v="Rep_07"/>
    <n v="6"/>
    <n v="22000"/>
    <n v="13200"/>
    <n v="4.2999999999999997E-2"/>
    <x v="0"/>
    <n v="21"/>
    <n v="21054"/>
    <n v="126324"/>
    <n v="79200"/>
    <n v="47124"/>
    <n v="37.299999999999997"/>
    <n v="2.5000000000000001E-2"/>
    <n v="3158.1"/>
  </r>
  <r>
    <s v="TXN-0184"/>
    <x v="3"/>
    <x v="3"/>
    <x v="5"/>
    <s v="Público"/>
    <s v="Bomba de Infusión"/>
    <s v="Medicación IV"/>
    <s v="Rep_07"/>
    <n v="14"/>
    <n v="28000"/>
    <n v="16800"/>
    <n v="3.5999999999999997E-2"/>
    <x v="0"/>
    <n v="27"/>
    <n v="26992"/>
    <n v="377888"/>
    <n v="235200"/>
    <n v="142688"/>
    <n v="37.799999999999997"/>
    <n v="2.5000000000000001E-2"/>
    <n v="9447.2000000000007"/>
  </r>
  <r>
    <s v="TXN-0185"/>
    <x v="0"/>
    <x v="2"/>
    <x v="6"/>
    <s v="Privado"/>
    <s v="Cama Hospitalaria"/>
    <s v="Mobiliario Clínico"/>
    <s v="Rep_05"/>
    <n v="5"/>
    <n v="22000"/>
    <n v="13200"/>
    <n v="0.11899999999999999"/>
    <x v="0"/>
    <n v="7"/>
    <n v="19382"/>
    <n v="96910"/>
    <n v="66000"/>
    <n v="30910"/>
    <n v="31.9"/>
    <n v="0.06"/>
    <n v="5814.6"/>
  </r>
  <r>
    <s v="TXN-0186"/>
    <x v="0"/>
    <x v="1"/>
    <x v="1"/>
    <s v="Privado"/>
    <s v="Desfibrilador"/>
    <s v="Emergencias"/>
    <s v="Rep_07"/>
    <n v="11"/>
    <n v="95000"/>
    <n v="57000"/>
    <n v="1.4999999999999999E-2"/>
    <x v="0"/>
    <n v="20"/>
    <n v="93575"/>
    <n v="1029325"/>
    <n v="627000"/>
    <n v="402325"/>
    <n v="39.1"/>
    <n v="0.06"/>
    <n v="61759.5"/>
  </r>
  <r>
    <s v="TXN-0187"/>
    <x v="1"/>
    <x v="3"/>
    <x v="5"/>
    <s v="Público"/>
    <s v="Electrocardiógrafo"/>
    <s v="Diagnóstico"/>
    <s v="Rep_05"/>
    <n v="8"/>
    <n v="32000"/>
    <n v="19200"/>
    <n v="0.107"/>
    <x v="0"/>
    <n v="17"/>
    <n v="28576"/>
    <n v="228608"/>
    <n v="153600"/>
    <n v="75008"/>
    <n v="32.799999999999997"/>
    <n v="2.5000000000000001E-2"/>
    <n v="5715.2"/>
  </r>
  <r>
    <s v="TXN-0188"/>
    <x v="0"/>
    <x v="3"/>
    <x v="5"/>
    <s v="Público"/>
    <s v="Silla de Ruedas Elec."/>
    <s v="Rehabilitación"/>
    <s v="Rep_06"/>
    <n v="10"/>
    <n v="35000"/>
    <n v="21000"/>
    <n v="8.3000000000000004E-2"/>
    <x v="0"/>
    <n v="6"/>
    <n v="32095"/>
    <n v="320950"/>
    <n v="210000"/>
    <n v="110950"/>
    <n v="34.6"/>
    <n v="2.5000000000000001E-2"/>
    <n v="8023.75"/>
  </r>
  <r>
    <s v="TXN-0189"/>
    <x v="0"/>
    <x v="0"/>
    <x v="1"/>
    <s v="Privado"/>
    <s v="Monitor de Signos"/>
    <s v="Equipo UCI"/>
    <s v="Rep_10"/>
    <n v="2"/>
    <n v="45000"/>
    <n v="27000"/>
    <n v="4.7E-2"/>
    <x v="0"/>
    <n v="35"/>
    <n v="42885"/>
    <n v="85770"/>
    <n v="54000"/>
    <n v="31770"/>
    <n v="37"/>
    <n v="0.06"/>
    <n v="5146.2"/>
  </r>
  <r>
    <s v="TXN-0190"/>
    <x v="3"/>
    <x v="3"/>
    <x v="5"/>
    <s v="Público"/>
    <s v="Cama Hospitalaria"/>
    <s v="Mobiliario Clínico"/>
    <s v="Rep_03"/>
    <n v="2"/>
    <n v="22000"/>
    <n v="13200"/>
    <n v="0.15"/>
    <x v="1"/>
    <n v="27"/>
    <n v="18700"/>
    <n v="37400"/>
    <n v="26400"/>
    <n v="11000"/>
    <n v="29.4"/>
    <n v="2.5000000000000001E-2"/>
    <n v="935"/>
  </r>
  <r>
    <s v="TXN-0191"/>
    <x v="0"/>
    <x v="1"/>
    <x v="0"/>
    <s v="Privado"/>
    <s v="Monitor de Signos"/>
    <s v="Equipo UCI"/>
    <s v="Rep_05"/>
    <n v="9"/>
    <n v="45000"/>
    <n v="27000"/>
    <n v="5.3999999999999999E-2"/>
    <x v="0"/>
    <n v="26"/>
    <n v="42570"/>
    <n v="383130"/>
    <n v="243000"/>
    <n v="140130"/>
    <n v="36.6"/>
    <n v="0.06"/>
    <n v="22987.8"/>
  </r>
  <r>
    <s v="TXN-0192"/>
    <x v="1"/>
    <x v="4"/>
    <x v="3"/>
    <s v="Privado"/>
    <s v="Silla de Ruedas Elec."/>
    <s v="Rehabilitación"/>
    <s v="Rep_06"/>
    <n v="14"/>
    <n v="35000"/>
    <n v="21000"/>
    <n v="5.0000000000000001E-3"/>
    <x v="0"/>
    <n v="11"/>
    <n v="34825"/>
    <n v="487550"/>
    <n v="294000"/>
    <n v="193550"/>
    <n v="39.700000000000003"/>
    <n v="0.06"/>
    <n v="29253"/>
  </r>
  <r>
    <s v="TXN-0193"/>
    <x v="2"/>
    <x v="4"/>
    <x v="3"/>
    <s v="Privado"/>
    <s v="Monitor de Signos"/>
    <s v="Equipo UCI"/>
    <s v="Rep_08"/>
    <n v="9"/>
    <n v="45000"/>
    <n v="27000"/>
    <n v="7.5999999999999998E-2"/>
    <x v="0"/>
    <n v="12"/>
    <n v="41580"/>
    <n v="374220"/>
    <n v="243000"/>
    <n v="131220"/>
    <n v="35.1"/>
    <n v="0.06"/>
    <n v="22453.200000000001"/>
  </r>
  <r>
    <s v="TXN-0194"/>
    <x v="2"/>
    <x v="0"/>
    <x v="1"/>
    <s v="Privado"/>
    <s v="Oxímetro Portátil"/>
    <s v="Diagnóstico"/>
    <s v="Rep_02"/>
    <n v="7"/>
    <n v="8500"/>
    <n v="5100"/>
    <n v="4.8000000000000001E-2"/>
    <x v="0"/>
    <n v="25"/>
    <n v="8092"/>
    <n v="56644"/>
    <n v="35700"/>
    <n v="20944"/>
    <n v="37"/>
    <n v="0.06"/>
    <n v="3398.64"/>
  </r>
  <r>
    <s v="TXN-0195"/>
    <x v="0"/>
    <x v="1"/>
    <x v="5"/>
    <s v="Público"/>
    <s v="Desfibrilador"/>
    <s v="Emergencias"/>
    <s v="Rep_06"/>
    <n v="14"/>
    <n v="95000"/>
    <n v="57000"/>
    <n v="0.157"/>
    <x v="0"/>
    <n v="30"/>
    <n v="80085"/>
    <n v="1121190"/>
    <n v="798000"/>
    <n v="323190"/>
    <n v="28.8"/>
    <n v="2.5000000000000001E-2"/>
    <n v="28029.75"/>
  </r>
  <r>
    <s v="TXN-0196"/>
    <x v="3"/>
    <x v="3"/>
    <x v="5"/>
    <s v="Público"/>
    <s v="Monitor de Signos"/>
    <s v="Equipo UCI"/>
    <s v="Rep_10"/>
    <n v="6"/>
    <n v="45000"/>
    <n v="27000"/>
    <n v="0.14799999999999999"/>
    <x v="0"/>
    <n v="29"/>
    <n v="38340"/>
    <n v="230040"/>
    <n v="162000"/>
    <n v="68040"/>
    <n v="29.6"/>
    <n v="2.5000000000000001E-2"/>
    <n v="5751"/>
  </r>
  <r>
    <s v="TXN-0197"/>
    <x v="0"/>
    <x v="1"/>
    <x v="1"/>
    <s v="Privado"/>
    <s v="Cama Hospitalaria"/>
    <s v="Mobiliario Clínico"/>
    <s v="Rep_09"/>
    <n v="9"/>
    <n v="22000"/>
    <n v="13200"/>
    <n v="2.8000000000000001E-2"/>
    <x v="0"/>
    <n v="24"/>
    <n v="21384"/>
    <n v="192456"/>
    <n v="118800"/>
    <n v="73656"/>
    <n v="38.299999999999997"/>
    <n v="0.06"/>
    <n v="11547.36"/>
  </r>
  <r>
    <s v="TXN-0198"/>
    <x v="3"/>
    <x v="0"/>
    <x v="5"/>
    <s v="Público"/>
    <s v="Oxímetro Portátil"/>
    <s v="Diagnóstico"/>
    <s v="Rep_03"/>
    <n v="14"/>
    <n v="8500"/>
    <n v="5100"/>
    <n v="6.4000000000000001E-2"/>
    <x v="0"/>
    <n v="12"/>
    <n v="7956"/>
    <n v="111384"/>
    <n v="71400"/>
    <n v="39984"/>
    <n v="35.9"/>
    <n v="2.5000000000000001E-2"/>
    <n v="2784.6"/>
  </r>
  <r>
    <s v="TXN-0199"/>
    <x v="1"/>
    <x v="0"/>
    <x v="2"/>
    <s v="Público"/>
    <s v="Cama Hospitalaria"/>
    <s v="Mobiliario Clínico"/>
    <s v="Rep_05"/>
    <n v="10"/>
    <n v="22000"/>
    <n v="13200"/>
    <n v="1.7999999999999999E-2"/>
    <x v="1"/>
    <n v="43"/>
    <n v="21604"/>
    <n v="216040"/>
    <n v="132000"/>
    <n v="84040"/>
    <n v="38.9"/>
    <n v="2.5000000000000001E-2"/>
    <n v="5401"/>
  </r>
  <r>
    <s v="TXN-0200"/>
    <x v="1"/>
    <x v="0"/>
    <x v="6"/>
    <s v="Privado"/>
    <s v="Ventilador Mecánico"/>
    <s v="Equipo UCI"/>
    <s v="Rep_07"/>
    <n v="13"/>
    <n v="180000"/>
    <n v="108000"/>
    <n v="4.9000000000000002E-2"/>
    <x v="0"/>
    <n v="38"/>
    <n v="171180"/>
    <n v="2225340"/>
    <n v="1404000"/>
    <n v="821340"/>
    <n v="36.9"/>
    <n v="0.06"/>
    <n v="133520.4"/>
  </r>
  <r>
    <s v="TXN-0201"/>
    <x v="2"/>
    <x v="3"/>
    <x v="3"/>
    <s v="Privado"/>
    <s v="Desfibrilador"/>
    <s v="Emergencias"/>
    <s v="Rep_02"/>
    <n v="3"/>
    <n v="95000"/>
    <n v="57000"/>
    <n v="4.5999999999999999E-2"/>
    <x v="0"/>
    <n v="16"/>
    <n v="90630"/>
    <n v="271890"/>
    <n v="171000"/>
    <n v="100890"/>
    <n v="37.1"/>
    <n v="0.06"/>
    <n v="16313.4"/>
  </r>
  <r>
    <s v="TXN-0202"/>
    <x v="3"/>
    <x v="3"/>
    <x v="3"/>
    <s v="Privado"/>
    <s v="Cama Hospitalaria"/>
    <s v="Mobiliario Clínico"/>
    <s v="Rep_01"/>
    <n v="11"/>
    <n v="22000"/>
    <n v="13200"/>
    <n v="8.9999999999999993E-3"/>
    <x v="0"/>
    <n v="34"/>
    <n v="21802"/>
    <n v="239822"/>
    <n v="145200"/>
    <n v="94622"/>
    <n v="39.5"/>
    <n v="0.06"/>
    <n v="14389.32"/>
  </r>
  <r>
    <s v="TXN-0203"/>
    <x v="1"/>
    <x v="3"/>
    <x v="3"/>
    <s v="Privado"/>
    <s v="Cama Hospitalaria"/>
    <s v="Mobiliario Clínico"/>
    <s v="Rep_05"/>
    <n v="11"/>
    <n v="22000"/>
    <n v="13200"/>
    <n v="1.9E-2"/>
    <x v="1"/>
    <n v="10"/>
    <n v="21582"/>
    <n v="237402"/>
    <n v="145200"/>
    <n v="92202"/>
    <n v="38.799999999999997"/>
    <n v="0.06"/>
    <n v="14244.12"/>
  </r>
  <r>
    <s v="TXN-0204"/>
    <x v="0"/>
    <x v="2"/>
    <x v="3"/>
    <s v="Privado"/>
    <s v="Desfibrilador"/>
    <s v="Emergencias"/>
    <s v="Rep_01"/>
    <n v="5"/>
    <n v="95000"/>
    <n v="57000"/>
    <n v="8.9999999999999993E-3"/>
    <x v="0"/>
    <n v="13"/>
    <n v="94145"/>
    <n v="470725"/>
    <n v="285000"/>
    <n v="185725"/>
    <n v="39.5"/>
    <n v="0.06"/>
    <n v="28243.5"/>
  </r>
  <r>
    <s v="TXN-0205"/>
    <x v="1"/>
    <x v="1"/>
    <x v="4"/>
    <s v="Público"/>
    <s v="Desfibrilador"/>
    <s v="Emergencias"/>
    <s v="Rep_09"/>
    <n v="10"/>
    <n v="95000"/>
    <n v="57000"/>
    <n v="0.16900000000000001"/>
    <x v="0"/>
    <n v="31"/>
    <n v="78945"/>
    <n v="789450"/>
    <n v="570000"/>
    <n v="219450"/>
    <n v="27.8"/>
    <n v="2.5000000000000001E-2"/>
    <n v="19736.25"/>
  </r>
  <r>
    <s v="TXN-0206"/>
    <x v="0"/>
    <x v="1"/>
    <x v="5"/>
    <s v="Público"/>
    <s v="Bomba de Infusión"/>
    <s v="Medicación IV"/>
    <s v="Rep_07"/>
    <n v="7"/>
    <n v="28000"/>
    <n v="16800"/>
    <n v="0.12"/>
    <x v="0"/>
    <n v="38"/>
    <n v="24640"/>
    <n v="172480"/>
    <n v="117600"/>
    <n v="54880"/>
    <n v="31.8"/>
    <n v="2.5000000000000001E-2"/>
    <n v="4312"/>
  </r>
  <r>
    <s v="TXN-0207"/>
    <x v="0"/>
    <x v="2"/>
    <x v="4"/>
    <s v="Público"/>
    <s v="Ventilador Mecánico"/>
    <s v="Equipo UCI"/>
    <s v="Rep_01"/>
    <n v="2"/>
    <n v="180000"/>
    <n v="108000"/>
    <n v="0.03"/>
    <x v="1"/>
    <n v="14"/>
    <n v="174600"/>
    <n v="349200"/>
    <n v="216000"/>
    <n v="133200"/>
    <n v="38.1"/>
    <n v="2.5000000000000001E-2"/>
    <n v="8730"/>
  </r>
  <r>
    <s v="TXN-0208"/>
    <x v="0"/>
    <x v="2"/>
    <x v="6"/>
    <s v="Privado"/>
    <s v="Cama Hospitalaria"/>
    <s v="Mobiliario Clínico"/>
    <s v="Rep_10"/>
    <n v="11"/>
    <n v="22000"/>
    <n v="13200"/>
    <n v="3.6999999999999998E-2"/>
    <x v="1"/>
    <n v="42"/>
    <n v="21186"/>
    <n v="233046"/>
    <n v="145200"/>
    <n v="87846"/>
    <n v="37.700000000000003"/>
    <n v="0.06"/>
    <n v="13982.76"/>
  </r>
  <r>
    <s v="TXN-0209"/>
    <x v="2"/>
    <x v="1"/>
    <x v="4"/>
    <s v="Público"/>
    <s v="Electrocardiógrafo"/>
    <s v="Diagnóstico"/>
    <s v="Rep_03"/>
    <n v="7"/>
    <n v="32000"/>
    <n v="19200"/>
    <n v="1.9E-2"/>
    <x v="1"/>
    <n v="14"/>
    <n v="31392"/>
    <n v="219744"/>
    <n v="134400"/>
    <n v="85344"/>
    <n v="38.799999999999997"/>
    <n v="2.5000000000000001E-2"/>
    <n v="5493.6"/>
  </r>
  <r>
    <s v="TXN-0210"/>
    <x v="1"/>
    <x v="2"/>
    <x v="5"/>
    <s v="Público"/>
    <s v="Oxímetro Portátil"/>
    <s v="Diagnóstico"/>
    <s v="Rep_02"/>
    <n v="8"/>
    <n v="8500"/>
    <n v="5100"/>
    <n v="1.7000000000000001E-2"/>
    <x v="0"/>
    <n v="38"/>
    <n v="8355.5"/>
    <n v="66844"/>
    <n v="40800"/>
    <n v="26044"/>
    <n v="39"/>
    <n v="2.5000000000000001E-2"/>
    <n v="1671.1"/>
  </r>
  <r>
    <s v="TXN-0211"/>
    <x v="3"/>
    <x v="3"/>
    <x v="4"/>
    <s v="Público"/>
    <s v="Ventilador Mecánico"/>
    <s v="Equipo UCI"/>
    <s v="Rep_06"/>
    <n v="9"/>
    <n v="180000"/>
    <n v="108000"/>
    <n v="0.17599999999999999"/>
    <x v="1"/>
    <n v="43"/>
    <n v="148320"/>
    <n v="1334880"/>
    <n v="972000"/>
    <n v="362880"/>
    <n v="27.2"/>
    <n v="2.5000000000000001E-2"/>
    <n v="33372"/>
  </r>
  <r>
    <s v="TXN-0212"/>
    <x v="2"/>
    <x v="3"/>
    <x v="1"/>
    <s v="Privado"/>
    <s v="Silla de Ruedas Elec."/>
    <s v="Rehabilitación"/>
    <s v="Rep_01"/>
    <n v="11"/>
    <n v="35000"/>
    <n v="21000"/>
    <n v="8.1000000000000003E-2"/>
    <x v="0"/>
    <n v="37"/>
    <n v="32165"/>
    <n v="353815"/>
    <n v="231000"/>
    <n v="122815"/>
    <n v="34.700000000000003"/>
    <n v="0.06"/>
    <n v="21228.9"/>
  </r>
  <r>
    <s v="TXN-0213"/>
    <x v="3"/>
    <x v="4"/>
    <x v="4"/>
    <s v="Público"/>
    <s v="Bomba de Infusión"/>
    <s v="Medicación IV"/>
    <s v="Rep_08"/>
    <n v="14"/>
    <n v="28000"/>
    <n v="16800"/>
    <n v="9.9000000000000005E-2"/>
    <x v="0"/>
    <n v="12"/>
    <n v="25228"/>
    <n v="353192"/>
    <n v="235200"/>
    <n v="117992"/>
    <n v="33.4"/>
    <n v="2.5000000000000001E-2"/>
    <n v="8829.7999999999993"/>
  </r>
  <r>
    <s v="TXN-0214"/>
    <x v="1"/>
    <x v="3"/>
    <x v="5"/>
    <s v="Público"/>
    <s v="Electrocardiógrafo"/>
    <s v="Diagnóstico"/>
    <s v="Rep_03"/>
    <n v="2"/>
    <n v="32000"/>
    <n v="19200"/>
    <n v="7.0000000000000001E-3"/>
    <x v="1"/>
    <n v="33"/>
    <n v="31776"/>
    <n v="63552"/>
    <n v="38400"/>
    <n v="25152"/>
    <n v="39.6"/>
    <n v="2.5000000000000001E-2"/>
    <n v="1588.8"/>
  </r>
  <r>
    <s v="TXN-0215"/>
    <x v="2"/>
    <x v="3"/>
    <x v="2"/>
    <s v="Público"/>
    <s v="Cama Hospitalaria"/>
    <s v="Mobiliario Clínico"/>
    <s v="Rep_06"/>
    <n v="1"/>
    <n v="22000"/>
    <n v="13200"/>
    <n v="2.9000000000000001E-2"/>
    <x v="0"/>
    <n v="22"/>
    <n v="21362"/>
    <n v="21362"/>
    <n v="13200"/>
    <n v="8162"/>
    <n v="38.200000000000003"/>
    <n v="2.5000000000000001E-2"/>
    <n v="534.04999999999995"/>
  </r>
  <r>
    <s v="TXN-0216"/>
    <x v="0"/>
    <x v="1"/>
    <x v="6"/>
    <s v="Privado"/>
    <s v="Oxímetro Portátil"/>
    <s v="Diagnóstico"/>
    <s v="Rep_01"/>
    <n v="9"/>
    <n v="8500"/>
    <n v="5100"/>
    <n v="0.11700000000000001"/>
    <x v="0"/>
    <n v="26"/>
    <n v="7505.5"/>
    <n v="67549.5"/>
    <n v="45900"/>
    <n v="21649.5"/>
    <n v="32"/>
    <n v="0.06"/>
    <n v="4052.97"/>
  </r>
  <r>
    <s v="TXN-0217"/>
    <x v="1"/>
    <x v="4"/>
    <x v="5"/>
    <s v="Público"/>
    <s v="Bomba de Infusión"/>
    <s v="Medicación IV"/>
    <s v="Rep_07"/>
    <n v="1"/>
    <n v="28000"/>
    <n v="16800"/>
    <n v="0.14199999999999999"/>
    <x v="0"/>
    <n v="16"/>
    <n v="24024"/>
    <n v="24024"/>
    <n v="16800"/>
    <n v="7224"/>
    <n v="30.1"/>
    <n v="2.5000000000000001E-2"/>
    <n v="600.6"/>
  </r>
  <r>
    <s v="TXN-0218"/>
    <x v="1"/>
    <x v="3"/>
    <x v="3"/>
    <s v="Privado"/>
    <s v="Bomba de Infusión"/>
    <s v="Medicación IV"/>
    <s v="Rep_05"/>
    <n v="12"/>
    <n v="28000"/>
    <n v="16800"/>
    <n v="2.5999999999999999E-2"/>
    <x v="0"/>
    <n v="3"/>
    <n v="27272"/>
    <n v="327264"/>
    <n v="201600"/>
    <n v="125664"/>
    <n v="38.4"/>
    <n v="0.06"/>
    <n v="19635.84"/>
  </r>
  <r>
    <s v="TXN-0219"/>
    <x v="2"/>
    <x v="4"/>
    <x v="1"/>
    <s v="Privado"/>
    <s v="Silla de Ruedas Elec."/>
    <s v="Rehabilitación"/>
    <s v="Rep_02"/>
    <n v="2"/>
    <n v="35000"/>
    <n v="21000"/>
    <n v="2.5000000000000001E-2"/>
    <x v="0"/>
    <n v="30"/>
    <n v="34125"/>
    <n v="68250"/>
    <n v="42000"/>
    <n v="26250"/>
    <n v="38.5"/>
    <n v="0.06"/>
    <n v="4095"/>
  </r>
  <r>
    <s v="TXN-0220"/>
    <x v="3"/>
    <x v="0"/>
    <x v="5"/>
    <s v="Público"/>
    <s v="Ventilador Mecánico"/>
    <s v="Equipo UCI"/>
    <s v="Rep_03"/>
    <n v="8"/>
    <n v="180000"/>
    <n v="108000"/>
    <n v="0.17399999999999999"/>
    <x v="0"/>
    <n v="8"/>
    <n v="148680"/>
    <n v="1189440"/>
    <n v="864000"/>
    <n v="325440"/>
    <n v="27.4"/>
    <n v="2.5000000000000001E-2"/>
    <n v="29736"/>
  </r>
  <r>
    <s v="TXN-0221"/>
    <x v="0"/>
    <x v="3"/>
    <x v="5"/>
    <s v="Público"/>
    <s v="Desfibrilador"/>
    <s v="Emergencias"/>
    <s v="Rep_02"/>
    <n v="1"/>
    <n v="95000"/>
    <n v="57000"/>
    <n v="0.19"/>
    <x v="1"/>
    <n v="23"/>
    <n v="76950"/>
    <n v="76950"/>
    <n v="57000"/>
    <n v="19950"/>
    <n v="25.9"/>
    <n v="2.5000000000000001E-2"/>
    <n v="1923.75"/>
  </r>
  <r>
    <s v="TXN-0222"/>
    <x v="0"/>
    <x v="3"/>
    <x v="1"/>
    <s v="Privado"/>
    <s v="Ventilador Mecánico"/>
    <s v="Equipo UCI"/>
    <s v="Rep_07"/>
    <n v="4"/>
    <n v="180000"/>
    <n v="108000"/>
    <n v="5.8999999999999997E-2"/>
    <x v="1"/>
    <n v="29"/>
    <n v="169380"/>
    <n v="677520"/>
    <n v="432000"/>
    <n v="245520"/>
    <n v="36.200000000000003"/>
    <n v="0.06"/>
    <n v="40651.199999999997"/>
  </r>
  <r>
    <s v="TXN-0223"/>
    <x v="0"/>
    <x v="1"/>
    <x v="5"/>
    <s v="Público"/>
    <s v="Desfibrilador"/>
    <s v="Emergencias"/>
    <s v="Rep_02"/>
    <n v="7"/>
    <n v="95000"/>
    <n v="57000"/>
    <n v="2.4E-2"/>
    <x v="0"/>
    <n v="28"/>
    <n v="92720"/>
    <n v="649040"/>
    <n v="399000"/>
    <n v="250040"/>
    <n v="38.5"/>
    <n v="2.5000000000000001E-2"/>
    <n v="16226"/>
  </r>
  <r>
    <s v="TXN-0224"/>
    <x v="1"/>
    <x v="1"/>
    <x v="6"/>
    <s v="Privado"/>
    <s v="Monitor de Signos"/>
    <s v="Equipo UCI"/>
    <s v="Rep_09"/>
    <n v="14"/>
    <n v="45000"/>
    <n v="27000"/>
    <n v="4.1000000000000002E-2"/>
    <x v="1"/>
    <n v="16"/>
    <n v="43155"/>
    <n v="604170"/>
    <n v="378000"/>
    <n v="226170"/>
    <n v="37.4"/>
    <n v="0.06"/>
    <n v="36250.199999999997"/>
  </r>
  <r>
    <s v="TXN-0225"/>
    <x v="1"/>
    <x v="1"/>
    <x v="5"/>
    <s v="Público"/>
    <s v="Monitor de Signos"/>
    <s v="Equipo UCI"/>
    <s v="Rep_08"/>
    <n v="14"/>
    <n v="45000"/>
    <n v="27000"/>
    <n v="8.4000000000000005E-2"/>
    <x v="0"/>
    <n v="40"/>
    <n v="41220"/>
    <n v="577080"/>
    <n v="378000"/>
    <n v="199080"/>
    <n v="34.5"/>
    <n v="2.5000000000000001E-2"/>
    <n v="14427"/>
  </r>
  <r>
    <s v="TXN-0226"/>
    <x v="0"/>
    <x v="2"/>
    <x v="4"/>
    <s v="Público"/>
    <s v="Cama Hospitalaria"/>
    <s v="Mobiliario Clínico"/>
    <s v="Rep_03"/>
    <n v="11"/>
    <n v="22000"/>
    <n v="13200"/>
    <n v="0.06"/>
    <x v="0"/>
    <n v="11"/>
    <n v="20680"/>
    <n v="227480"/>
    <n v="145200"/>
    <n v="82280"/>
    <n v="36.200000000000003"/>
    <n v="2.5000000000000001E-2"/>
    <n v="5687"/>
  </r>
  <r>
    <s v="TXN-0227"/>
    <x v="0"/>
    <x v="3"/>
    <x v="5"/>
    <s v="Público"/>
    <s v="Electrocardiógrafo"/>
    <s v="Diagnóstico"/>
    <s v="Rep_02"/>
    <n v="8"/>
    <n v="32000"/>
    <n v="19200"/>
    <n v="7.3999999999999996E-2"/>
    <x v="0"/>
    <n v="37"/>
    <n v="29632"/>
    <n v="237056"/>
    <n v="153600"/>
    <n v="83456"/>
    <n v="35.200000000000003"/>
    <n v="2.5000000000000001E-2"/>
    <n v="5926.4"/>
  </r>
  <r>
    <s v="TXN-0228"/>
    <x v="1"/>
    <x v="1"/>
    <x v="2"/>
    <s v="Público"/>
    <s v="Electrocardiógrafo"/>
    <s v="Diagnóstico"/>
    <s v="Rep_05"/>
    <n v="14"/>
    <n v="32000"/>
    <n v="19200"/>
    <n v="0.21099999999999999"/>
    <x v="0"/>
    <n v="15"/>
    <n v="25248"/>
    <n v="353472"/>
    <n v="268800"/>
    <n v="84672"/>
    <n v="24"/>
    <n v="2.5000000000000001E-2"/>
    <n v="8836.7999999999993"/>
  </r>
  <r>
    <s v="TXN-0229"/>
    <x v="1"/>
    <x v="2"/>
    <x v="0"/>
    <s v="Privado"/>
    <s v="Ventilador Mecánico"/>
    <s v="Equipo UCI"/>
    <s v="Rep_01"/>
    <n v="9"/>
    <n v="180000"/>
    <n v="108000"/>
    <n v="1.4999999999999999E-2"/>
    <x v="0"/>
    <n v="29"/>
    <n v="177300"/>
    <n v="1595700"/>
    <n v="972000"/>
    <n v="623700"/>
    <n v="39.1"/>
    <n v="0.06"/>
    <n v="95742"/>
  </r>
  <r>
    <s v="TXN-0230"/>
    <x v="1"/>
    <x v="1"/>
    <x v="4"/>
    <s v="Público"/>
    <s v="Oxímetro Portátil"/>
    <s v="Diagnóstico"/>
    <s v="Rep_06"/>
    <n v="8"/>
    <n v="8500"/>
    <n v="5100"/>
    <n v="8.4000000000000005E-2"/>
    <x v="0"/>
    <n v="5"/>
    <n v="7786"/>
    <n v="62288"/>
    <n v="40800"/>
    <n v="21488"/>
    <n v="34.5"/>
    <n v="2.5000000000000001E-2"/>
    <n v="1557.2"/>
  </r>
  <r>
    <s v="TXN-0231"/>
    <x v="0"/>
    <x v="3"/>
    <x v="2"/>
    <s v="Público"/>
    <s v="Bomba de Infusión"/>
    <s v="Medicación IV"/>
    <s v="Rep_04"/>
    <n v="10"/>
    <n v="28000"/>
    <n v="16800"/>
    <n v="0.158"/>
    <x v="0"/>
    <n v="19"/>
    <n v="23576"/>
    <n v="235760"/>
    <n v="168000"/>
    <n v="67760"/>
    <n v="28.7"/>
    <n v="2.5000000000000001E-2"/>
    <n v="5894"/>
  </r>
  <r>
    <s v="TXN-0232"/>
    <x v="0"/>
    <x v="0"/>
    <x v="1"/>
    <s v="Privado"/>
    <s v="Desfibrilador"/>
    <s v="Emergencias"/>
    <s v="Rep_02"/>
    <n v="1"/>
    <n v="95000"/>
    <n v="57000"/>
    <n v="5.8000000000000003E-2"/>
    <x v="0"/>
    <n v="8"/>
    <n v="89490"/>
    <n v="89490"/>
    <n v="57000"/>
    <n v="32490"/>
    <n v="36.299999999999997"/>
    <n v="0.06"/>
    <n v="5369.4"/>
  </r>
  <r>
    <s v="TXN-0233"/>
    <x v="3"/>
    <x v="1"/>
    <x v="5"/>
    <s v="Público"/>
    <s v="Electrocardiógrafo"/>
    <s v="Diagnóstico"/>
    <s v="Rep_02"/>
    <n v="10"/>
    <n v="32000"/>
    <n v="19200"/>
    <n v="8.2000000000000003E-2"/>
    <x v="0"/>
    <n v="41"/>
    <n v="29376"/>
    <n v="293760"/>
    <n v="192000"/>
    <n v="101760"/>
    <n v="34.6"/>
    <n v="2.5000000000000001E-2"/>
    <n v="7344"/>
  </r>
  <r>
    <s v="TXN-0234"/>
    <x v="0"/>
    <x v="0"/>
    <x v="2"/>
    <s v="Público"/>
    <s v="Desfibrilador"/>
    <s v="Emergencias"/>
    <s v="Rep_02"/>
    <n v="4"/>
    <n v="95000"/>
    <n v="57000"/>
    <n v="8.5999999999999993E-2"/>
    <x v="0"/>
    <n v="14"/>
    <n v="86830"/>
    <n v="347320"/>
    <n v="228000"/>
    <n v="119320"/>
    <n v="34.4"/>
    <n v="2.5000000000000001E-2"/>
    <n v="8683"/>
  </r>
  <r>
    <s v="TXN-0235"/>
    <x v="0"/>
    <x v="3"/>
    <x v="5"/>
    <s v="Público"/>
    <s v="Bomba de Infusión"/>
    <s v="Medicación IV"/>
    <s v="Rep_04"/>
    <n v="10"/>
    <n v="28000"/>
    <n v="16800"/>
    <n v="0.188"/>
    <x v="0"/>
    <n v="37"/>
    <n v="22736"/>
    <n v="227360"/>
    <n v="168000"/>
    <n v="59360"/>
    <n v="26.1"/>
    <n v="2.5000000000000001E-2"/>
    <n v="5684"/>
  </r>
  <r>
    <s v="TXN-0236"/>
    <x v="3"/>
    <x v="1"/>
    <x v="6"/>
    <s v="Privado"/>
    <s v="Cama Hospitalaria"/>
    <s v="Mobiliario Clínico"/>
    <s v="Rep_09"/>
    <n v="14"/>
    <n v="22000"/>
    <n v="13200"/>
    <n v="2.1000000000000001E-2"/>
    <x v="1"/>
    <n v="20"/>
    <n v="21538"/>
    <n v="301532"/>
    <n v="184800"/>
    <n v="116732"/>
    <n v="38.700000000000003"/>
    <n v="0.06"/>
    <n v="18091.919999999998"/>
  </r>
  <r>
    <s v="TXN-0237"/>
    <x v="1"/>
    <x v="0"/>
    <x v="5"/>
    <s v="Público"/>
    <s v="Desfibrilador"/>
    <s v="Emergencias"/>
    <s v="Rep_08"/>
    <n v="7"/>
    <n v="95000"/>
    <n v="57000"/>
    <n v="7.3999999999999996E-2"/>
    <x v="0"/>
    <n v="9"/>
    <n v="87970"/>
    <n v="615790"/>
    <n v="399000"/>
    <n v="216790"/>
    <n v="35.200000000000003"/>
    <n v="2.5000000000000001E-2"/>
    <n v="15394.75"/>
  </r>
  <r>
    <s v="TXN-0238"/>
    <x v="0"/>
    <x v="3"/>
    <x v="6"/>
    <s v="Privado"/>
    <s v="Silla de Ruedas Elec."/>
    <s v="Rehabilitación"/>
    <s v="Rep_08"/>
    <n v="11"/>
    <n v="35000"/>
    <n v="21000"/>
    <n v="3.5999999999999997E-2"/>
    <x v="0"/>
    <n v="28"/>
    <n v="33740"/>
    <n v="371140"/>
    <n v="231000"/>
    <n v="140140"/>
    <n v="37.799999999999997"/>
    <n v="0.06"/>
    <n v="22268.400000000001"/>
  </r>
  <r>
    <s v="TXN-0239"/>
    <x v="1"/>
    <x v="1"/>
    <x v="1"/>
    <s v="Privado"/>
    <s v="Bomba de Infusión"/>
    <s v="Medicación IV"/>
    <s v="Rep_01"/>
    <n v="6"/>
    <n v="28000"/>
    <n v="16800"/>
    <n v="4.5999999999999999E-2"/>
    <x v="0"/>
    <n v="40"/>
    <n v="26712"/>
    <n v="160272"/>
    <n v="100800"/>
    <n v="59472"/>
    <n v="37.1"/>
    <n v="0.06"/>
    <n v="9616.32"/>
  </r>
  <r>
    <s v="TXN-0240"/>
    <x v="0"/>
    <x v="1"/>
    <x v="1"/>
    <s v="Privado"/>
    <s v="Cama Hospitalaria"/>
    <s v="Mobiliario Clínico"/>
    <s v="Rep_01"/>
    <n v="13"/>
    <n v="22000"/>
    <n v="13200"/>
    <n v="0.06"/>
    <x v="0"/>
    <n v="21"/>
    <n v="20680"/>
    <n v="268840"/>
    <n v="171600"/>
    <n v="97240"/>
    <n v="36.200000000000003"/>
    <n v="0.06"/>
    <n v="16130.4"/>
  </r>
  <r>
    <s v="TXN-0241"/>
    <x v="1"/>
    <x v="1"/>
    <x v="5"/>
    <s v="Público"/>
    <s v="Bomba de Infusión"/>
    <s v="Medicación IV"/>
    <s v="Rep_06"/>
    <n v="1"/>
    <n v="28000"/>
    <n v="16800"/>
    <n v="3.2000000000000001E-2"/>
    <x v="0"/>
    <n v="38"/>
    <n v="27104"/>
    <n v="27104"/>
    <n v="16800"/>
    <n v="10304"/>
    <n v="38"/>
    <n v="2.5000000000000001E-2"/>
    <n v="677.6"/>
  </r>
  <r>
    <s v="TXN-0242"/>
    <x v="0"/>
    <x v="1"/>
    <x v="5"/>
    <s v="Público"/>
    <s v="Monitor de Signos"/>
    <s v="Equipo UCI"/>
    <s v="Rep_07"/>
    <n v="6"/>
    <n v="45000"/>
    <n v="27000"/>
    <n v="0.17499999999999999"/>
    <x v="0"/>
    <n v="18"/>
    <n v="37125"/>
    <n v="222750"/>
    <n v="162000"/>
    <n v="60750"/>
    <n v="27.3"/>
    <n v="2.5000000000000001E-2"/>
    <n v="5568.75"/>
  </r>
  <r>
    <s v="TXN-0243"/>
    <x v="3"/>
    <x v="2"/>
    <x v="5"/>
    <s v="Público"/>
    <s v="Oxímetro Portátil"/>
    <s v="Diagnóstico"/>
    <s v="Rep_05"/>
    <n v="1"/>
    <n v="8500"/>
    <n v="5100"/>
    <n v="0.13200000000000001"/>
    <x v="0"/>
    <n v="7"/>
    <n v="7378"/>
    <n v="7378"/>
    <n v="5100"/>
    <n v="2278"/>
    <n v="30.9"/>
    <n v="2.5000000000000001E-2"/>
    <n v="184.45"/>
  </r>
  <r>
    <s v="TXN-0244"/>
    <x v="3"/>
    <x v="0"/>
    <x v="6"/>
    <s v="Privado"/>
    <s v="Bomba de Infusión"/>
    <s v="Medicación IV"/>
    <s v="Rep_07"/>
    <n v="5"/>
    <n v="28000"/>
    <n v="16800"/>
    <n v="3.6999999999999998E-2"/>
    <x v="1"/>
    <n v="14"/>
    <n v="26964"/>
    <n v="134820"/>
    <n v="84000"/>
    <n v="50820"/>
    <n v="37.700000000000003"/>
    <n v="0.06"/>
    <n v="8089.2"/>
  </r>
  <r>
    <s v="TXN-0245"/>
    <x v="1"/>
    <x v="3"/>
    <x v="2"/>
    <s v="Público"/>
    <s v="Oxímetro Portátil"/>
    <s v="Diagnóstico"/>
    <s v="Rep_04"/>
    <n v="7"/>
    <n v="8500"/>
    <n v="5100"/>
    <n v="0.14899999999999999"/>
    <x v="1"/>
    <n v="30"/>
    <n v="7233.5"/>
    <n v="50634.5"/>
    <n v="35700"/>
    <n v="14934.5"/>
    <n v="29.5"/>
    <n v="2.5000000000000001E-2"/>
    <n v="1265.8599999999999"/>
  </r>
  <r>
    <s v="TXN-0246"/>
    <x v="1"/>
    <x v="1"/>
    <x v="1"/>
    <s v="Privado"/>
    <s v="Monitor de Signos"/>
    <s v="Equipo UCI"/>
    <s v="Rep_10"/>
    <n v="10"/>
    <n v="45000"/>
    <n v="27000"/>
    <n v="5.3999999999999999E-2"/>
    <x v="0"/>
    <n v="13"/>
    <n v="42570"/>
    <n v="425700"/>
    <n v="270000"/>
    <n v="155700"/>
    <n v="36.6"/>
    <n v="0.06"/>
    <n v="25542"/>
  </r>
  <r>
    <s v="TXN-0247"/>
    <x v="0"/>
    <x v="1"/>
    <x v="5"/>
    <s v="Público"/>
    <s v="Cama Hospitalaria"/>
    <s v="Mobiliario Clínico"/>
    <s v="Rep_05"/>
    <n v="1"/>
    <n v="22000"/>
    <n v="13200"/>
    <n v="0.129"/>
    <x v="0"/>
    <n v="38"/>
    <n v="19162"/>
    <n v="19162"/>
    <n v="13200"/>
    <n v="5962"/>
    <n v="31.1"/>
    <n v="2.5000000000000001E-2"/>
    <n v="479.05"/>
  </r>
  <r>
    <s v="TXN-0248"/>
    <x v="3"/>
    <x v="1"/>
    <x v="5"/>
    <s v="Público"/>
    <s v="Oxímetro Portátil"/>
    <s v="Diagnóstico"/>
    <s v="Rep_06"/>
    <n v="14"/>
    <n v="8500"/>
    <n v="5100"/>
    <n v="0.17899999999999999"/>
    <x v="0"/>
    <n v="37"/>
    <n v="6978.5"/>
    <n v="97699"/>
    <n v="71400"/>
    <n v="26299"/>
    <n v="26.9"/>
    <n v="2.5000000000000001E-2"/>
    <n v="2442.48"/>
  </r>
  <r>
    <s v="TXN-0249"/>
    <x v="3"/>
    <x v="2"/>
    <x v="4"/>
    <s v="Público"/>
    <s v="Silla de Ruedas Elec."/>
    <s v="Rehabilitación"/>
    <s v="Rep_06"/>
    <n v="4"/>
    <n v="35000"/>
    <n v="21000"/>
    <n v="9.7000000000000003E-2"/>
    <x v="0"/>
    <n v="12"/>
    <n v="31605"/>
    <n v="126420"/>
    <n v="84000"/>
    <n v="42420"/>
    <n v="33.6"/>
    <n v="2.5000000000000001E-2"/>
    <n v="3160.5"/>
  </r>
  <r>
    <s v="TXN-0250"/>
    <x v="3"/>
    <x v="1"/>
    <x v="4"/>
    <s v="Público"/>
    <s v="Silla de Ruedas Elec."/>
    <s v="Rehabilitación"/>
    <s v="Rep_07"/>
    <n v="9"/>
    <n v="35000"/>
    <n v="21000"/>
    <n v="0.13800000000000001"/>
    <x v="0"/>
    <n v="21"/>
    <n v="30170"/>
    <n v="271530"/>
    <n v="189000"/>
    <n v="82530"/>
    <n v="30.4"/>
    <n v="2.5000000000000001E-2"/>
    <n v="6788.25"/>
  </r>
  <r>
    <s v="TXN-0251"/>
    <x v="1"/>
    <x v="2"/>
    <x v="1"/>
    <s v="Privado"/>
    <s v="Cama Hospitalaria"/>
    <s v="Mobiliario Clínico"/>
    <s v="Rep_07"/>
    <n v="10"/>
    <n v="22000"/>
    <n v="13200"/>
    <n v="4.3999999999999997E-2"/>
    <x v="0"/>
    <n v="16"/>
    <n v="21032"/>
    <n v="210320"/>
    <n v="132000"/>
    <n v="78320"/>
    <n v="37.200000000000003"/>
    <n v="0.06"/>
    <n v="12619.2"/>
  </r>
  <r>
    <s v="TXN-0252"/>
    <x v="1"/>
    <x v="0"/>
    <x v="1"/>
    <s v="Privado"/>
    <s v="Monitor de Signos"/>
    <s v="Equipo UCI"/>
    <s v="Rep_08"/>
    <n v="2"/>
    <n v="45000"/>
    <n v="27000"/>
    <n v="2.5999999999999999E-2"/>
    <x v="0"/>
    <n v="11"/>
    <n v="43830"/>
    <n v="87660"/>
    <n v="54000"/>
    <n v="33660"/>
    <n v="38.4"/>
    <n v="0.06"/>
    <n v="5259.6"/>
  </r>
  <r>
    <s v="TXN-0253"/>
    <x v="1"/>
    <x v="1"/>
    <x v="2"/>
    <s v="Público"/>
    <s v="Oxímetro Portátil"/>
    <s v="Diagnóstico"/>
    <s v="Rep_04"/>
    <n v="8"/>
    <n v="8500"/>
    <n v="5100"/>
    <n v="5.6000000000000001E-2"/>
    <x v="0"/>
    <n v="5"/>
    <n v="8024"/>
    <n v="64192"/>
    <n v="40800"/>
    <n v="23392"/>
    <n v="36.4"/>
    <n v="2.5000000000000001E-2"/>
    <n v="1604.8"/>
  </r>
  <r>
    <s v="TXN-0254"/>
    <x v="0"/>
    <x v="3"/>
    <x v="5"/>
    <s v="Público"/>
    <s v="Monitor de Signos"/>
    <s v="Equipo UCI"/>
    <s v="Rep_04"/>
    <n v="1"/>
    <n v="45000"/>
    <n v="27000"/>
    <n v="9.4E-2"/>
    <x v="0"/>
    <n v="8"/>
    <n v="40770"/>
    <n v="40770"/>
    <n v="27000"/>
    <n v="13770"/>
    <n v="33.799999999999997"/>
    <n v="2.5000000000000001E-2"/>
    <n v="1019.25"/>
  </r>
  <r>
    <s v="TXN-0255"/>
    <x v="0"/>
    <x v="3"/>
    <x v="3"/>
    <s v="Privado"/>
    <s v="Ventilador Mecánico"/>
    <s v="Equipo UCI"/>
    <s v="Rep_09"/>
    <n v="2"/>
    <n v="180000"/>
    <n v="108000"/>
    <n v="5.8999999999999997E-2"/>
    <x v="0"/>
    <n v="22"/>
    <n v="169380"/>
    <n v="338760"/>
    <n v="216000"/>
    <n v="122760"/>
    <n v="36.200000000000003"/>
    <n v="0.06"/>
    <n v="20325.599999999999"/>
  </r>
  <r>
    <s v="TXN-0256"/>
    <x v="3"/>
    <x v="0"/>
    <x v="5"/>
    <s v="Público"/>
    <s v="Silla de Ruedas Elec."/>
    <s v="Rehabilitación"/>
    <s v="Rep_01"/>
    <n v="7"/>
    <n v="35000"/>
    <n v="21000"/>
    <n v="0.14799999999999999"/>
    <x v="0"/>
    <n v="10"/>
    <n v="29820"/>
    <n v="208740"/>
    <n v="147000"/>
    <n v="61740"/>
    <n v="29.6"/>
    <n v="2.5000000000000001E-2"/>
    <n v="5218.5"/>
  </r>
  <r>
    <s v="TXN-0257"/>
    <x v="1"/>
    <x v="2"/>
    <x v="5"/>
    <s v="Público"/>
    <s v="Silla de Ruedas Elec."/>
    <s v="Rehabilitación"/>
    <s v="Rep_09"/>
    <n v="5"/>
    <n v="35000"/>
    <n v="21000"/>
    <n v="4.0000000000000001E-3"/>
    <x v="0"/>
    <n v="14"/>
    <n v="34860"/>
    <n v="174300"/>
    <n v="105000"/>
    <n v="69300"/>
    <n v="39.799999999999997"/>
    <n v="2.5000000000000001E-2"/>
    <n v="4357.5"/>
  </r>
  <r>
    <s v="TXN-0258"/>
    <x v="0"/>
    <x v="1"/>
    <x v="5"/>
    <s v="Público"/>
    <s v="Silla de Ruedas Elec."/>
    <s v="Rehabilitación"/>
    <s v="Rep_01"/>
    <n v="8"/>
    <n v="35000"/>
    <n v="21000"/>
    <n v="3.6999999999999998E-2"/>
    <x v="1"/>
    <n v="44"/>
    <n v="33705"/>
    <n v="269640"/>
    <n v="168000"/>
    <n v="101640"/>
    <n v="37.700000000000003"/>
    <n v="2.5000000000000001E-2"/>
    <n v="6741"/>
  </r>
  <r>
    <s v="TXN-0259"/>
    <x v="1"/>
    <x v="3"/>
    <x v="2"/>
    <s v="Público"/>
    <s v="Cama Hospitalaria"/>
    <s v="Mobiliario Clínico"/>
    <s v="Rep_06"/>
    <n v="1"/>
    <n v="22000"/>
    <n v="13200"/>
    <n v="6.6000000000000003E-2"/>
    <x v="0"/>
    <n v="20"/>
    <n v="20548"/>
    <n v="20548"/>
    <n v="13200"/>
    <n v="7348"/>
    <n v="35.799999999999997"/>
    <n v="2.5000000000000001E-2"/>
    <n v="513.70000000000005"/>
  </r>
  <r>
    <s v="TXN-0260"/>
    <x v="3"/>
    <x v="4"/>
    <x v="2"/>
    <s v="Público"/>
    <s v="Silla de Ruedas Elec."/>
    <s v="Rehabilitación"/>
    <s v="Rep_09"/>
    <n v="8"/>
    <n v="35000"/>
    <n v="21000"/>
    <n v="0.17100000000000001"/>
    <x v="0"/>
    <n v="44"/>
    <n v="29015"/>
    <n v="232120"/>
    <n v="168000"/>
    <n v="64120"/>
    <n v="27.6"/>
    <n v="2.5000000000000001E-2"/>
    <n v="5803"/>
  </r>
  <r>
    <s v="TXN-0261"/>
    <x v="2"/>
    <x v="1"/>
    <x v="2"/>
    <s v="Público"/>
    <s v="Monitor de Signos"/>
    <s v="Equipo UCI"/>
    <s v="Rep_06"/>
    <n v="12"/>
    <n v="45000"/>
    <n v="27000"/>
    <n v="9.1999999999999998E-2"/>
    <x v="1"/>
    <n v="5"/>
    <n v="40860"/>
    <n v="490320"/>
    <n v="324000"/>
    <n v="166320"/>
    <n v="33.9"/>
    <n v="2.5000000000000001E-2"/>
    <n v="12258"/>
  </r>
  <r>
    <s v="TXN-0262"/>
    <x v="1"/>
    <x v="4"/>
    <x v="4"/>
    <s v="Público"/>
    <s v="Ventilador Mecánico"/>
    <s v="Equipo UCI"/>
    <s v="Rep_01"/>
    <n v="2"/>
    <n v="180000"/>
    <n v="108000"/>
    <n v="3.5000000000000003E-2"/>
    <x v="0"/>
    <n v="14"/>
    <n v="173700"/>
    <n v="347400"/>
    <n v="216000"/>
    <n v="131400"/>
    <n v="37.799999999999997"/>
    <n v="2.5000000000000001E-2"/>
    <n v="8685"/>
  </r>
  <r>
    <s v="TXN-0263"/>
    <x v="1"/>
    <x v="1"/>
    <x v="6"/>
    <s v="Privado"/>
    <s v="Cama Hospitalaria"/>
    <s v="Mobiliario Clínico"/>
    <s v="Rep_08"/>
    <n v="3"/>
    <n v="22000"/>
    <n v="13200"/>
    <n v="5.6000000000000001E-2"/>
    <x v="1"/>
    <n v="26"/>
    <n v="20768"/>
    <n v="62304"/>
    <n v="39600"/>
    <n v="22704"/>
    <n v="36.4"/>
    <n v="0.06"/>
    <n v="3738.24"/>
  </r>
  <r>
    <s v="TXN-0264"/>
    <x v="1"/>
    <x v="0"/>
    <x v="1"/>
    <s v="Privado"/>
    <s v="Ventilador Mecánico"/>
    <s v="Equipo UCI"/>
    <s v="Rep_01"/>
    <n v="1"/>
    <n v="180000"/>
    <n v="108000"/>
    <n v="5.0000000000000001E-3"/>
    <x v="0"/>
    <n v="4"/>
    <n v="179100"/>
    <n v="179100"/>
    <n v="108000"/>
    <n v="71100"/>
    <n v="39.700000000000003"/>
    <n v="0.06"/>
    <n v="10746"/>
  </r>
  <r>
    <s v="TXN-0265"/>
    <x v="3"/>
    <x v="3"/>
    <x v="1"/>
    <s v="Privado"/>
    <s v="Bomba de Infusión"/>
    <s v="Medicación IV"/>
    <s v="Rep_06"/>
    <n v="6"/>
    <n v="28000"/>
    <n v="16800"/>
    <n v="1.4999999999999999E-2"/>
    <x v="1"/>
    <n v="29"/>
    <n v="27580"/>
    <n v="165480"/>
    <n v="100800"/>
    <n v="64680"/>
    <n v="39.1"/>
    <n v="0.06"/>
    <n v="9928.7999999999993"/>
  </r>
  <r>
    <s v="TXN-0266"/>
    <x v="2"/>
    <x v="1"/>
    <x v="0"/>
    <s v="Privado"/>
    <s v="Ventilador Mecánico"/>
    <s v="Equipo UCI"/>
    <s v="Rep_07"/>
    <n v="3"/>
    <n v="180000"/>
    <n v="108000"/>
    <n v="3.4000000000000002E-2"/>
    <x v="0"/>
    <n v="29"/>
    <n v="173880"/>
    <n v="521640"/>
    <n v="324000"/>
    <n v="197640"/>
    <n v="37.9"/>
    <n v="0.06"/>
    <n v="31298.400000000001"/>
  </r>
  <r>
    <s v="TXN-0267"/>
    <x v="0"/>
    <x v="3"/>
    <x v="5"/>
    <s v="Público"/>
    <s v="Monitor de Signos"/>
    <s v="Equipo UCI"/>
    <s v="Rep_02"/>
    <n v="14"/>
    <n v="45000"/>
    <n v="27000"/>
    <n v="0.10299999999999999"/>
    <x v="1"/>
    <n v="21"/>
    <n v="40365"/>
    <n v="565110"/>
    <n v="378000"/>
    <n v="187110"/>
    <n v="33.1"/>
    <n v="2.5000000000000001E-2"/>
    <n v="14127.75"/>
  </r>
  <r>
    <s v="TXN-0268"/>
    <x v="1"/>
    <x v="1"/>
    <x v="1"/>
    <s v="Privado"/>
    <s v="Silla de Ruedas Elec."/>
    <s v="Rehabilitación"/>
    <s v="Rep_09"/>
    <n v="3"/>
    <n v="35000"/>
    <n v="21000"/>
    <n v="7.4999999999999997E-2"/>
    <x v="0"/>
    <n v="29"/>
    <n v="32375"/>
    <n v="97125"/>
    <n v="63000"/>
    <n v="34125"/>
    <n v="35.1"/>
    <n v="0.06"/>
    <n v="5827.5"/>
  </r>
  <r>
    <s v="TXN-0269"/>
    <x v="1"/>
    <x v="1"/>
    <x v="4"/>
    <s v="Público"/>
    <s v="Electrocardiógrafo"/>
    <s v="Diagnóstico"/>
    <s v="Rep_04"/>
    <n v="13"/>
    <n v="32000"/>
    <n v="19200"/>
    <n v="0.13"/>
    <x v="0"/>
    <n v="38"/>
    <n v="27840"/>
    <n v="361920"/>
    <n v="249600"/>
    <n v="112320"/>
    <n v="31"/>
    <n v="2.5000000000000001E-2"/>
    <n v="9048"/>
  </r>
  <r>
    <s v="TXN-0270"/>
    <x v="2"/>
    <x v="1"/>
    <x v="2"/>
    <s v="Público"/>
    <s v="Bomba de Infusión"/>
    <s v="Medicación IV"/>
    <s v="Rep_09"/>
    <n v="9"/>
    <n v="28000"/>
    <n v="16800"/>
    <n v="5.8999999999999997E-2"/>
    <x v="0"/>
    <n v="11"/>
    <n v="26348"/>
    <n v="237132"/>
    <n v="151200"/>
    <n v="85932"/>
    <n v="36.200000000000003"/>
    <n v="2.5000000000000001E-2"/>
    <n v="5928.3"/>
  </r>
  <r>
    <s v="TXN-0271"/>
    <x v="3"/>
    <x v="0"/>
    <x v="4"/>
    <s v="Público"/>
    <s v="Silla de Ruedas Elec."/>
    <s v="Rehabilitación"/>
    <s v="Rep_03"/>
    <n v="8"/>
    <n v="35000"/>
    <n v="21000"/>
    <n v="0.151"/>
    <x v="1"/>
    <n v="44"/>
    <n v="29715"/>
    <n v="237720"/>
    <n v="168000"/>
    <n v="69720"/>
    <n v="29.3"/>
    <n v="2.5000000000000001E-2"/>
    <n v="5943"/>
  </r>
  <r>
    <s v="TXN-0272"/>
    <x v="2"/>
    <x v="3"/>
    <x v="4"/>
    <s v="Público"/>
    <s v="Desfibrilador"/>
    <s v="Emergencias"/>
    <s v="Rep_10"/>
    <n v="6"/>
    <n v="95000"/>
    <n v="57000"/>
    <n v="3.5999999999999997E-2"/>
    <x v="0"/>
    <n v="42"/>
    <n v="91580"/>
    <n v="549480"/>
    <n v="342000"/>
    <n v="207480"/>
    <n v="37.799999999999997"/>
    <n v="2.5000000000000001E-2"/>
    <n v="13737"/>
  </r>
  <r>
    <s v="TXN-0273"/>
    <x v="2"/>
    <x v="2"/>
    <x v="3"/>
    <s v="Privado"/>
    <s v="Ventilador Mecánico"/>
    <s v="Equipo UCI"/>
    <s v="Rep_09"/>
    <n v="5"/>
    <n v="180000"/>
    <n v="108000"/>
    <n v="6.6000000000000003E-2"/>
    <x v="0"/>
    <n v="16"/>
    <n v="168120"/>
    <n v="840600"/>
    <n v="540000"/>
    <n v="300600"/>
    <n v="35.799999999999997"/>
    <n v="0.06"/>
    <n v="50436"/>
  </r>
  <r>
    <s v="TXN-0274"/>
    <x v="3"/>
    <x v="3"/>
    <x v="5"/>
    <s v="Público"/>
    <s v="Bomba de Infusión"/>
    <s v="Medicación IV"/>
    <s v="Rep_01"/>
    <n v="13"/>
    <n v="28000"/>
    <n v="16800"/>
    <n v="0.192"/>
    <x v="1"/>
    <n v="28"/>
    <n v="22624"/>
    <n v="294112"/>
    <n v="218400"/>
    <n v="75712"/>
    <n v="25.7"/>
    <n v="2.5000000000000001E-2"/>
    <n v="7352.8"/>
  </r>
  <r>
    <s v="TXN-0275"/>
    <x v="2"/>
    <x v="1"/>
    <x v="5"/>
    <s v="Público"/>
    <s v="Cama Hospitalaria"/>
    <s v="Mobiliario Clínico"/>
    <s v="Rep_06"/>
    <n v="3"/>
    <n v="22000"/>
    <n v="13200"/>
    <n v="3.1E-2"/>
    <x v="1"/>
    <n v="13"/>
    <n v="21318"/>
    <n v="63954"/>
    <n v="39600"/>
    <n v="24354"/>
    <n v="38.1"/>
    <n v="2.5000000000000001E-2"/>
    <n v="1598.85"/>
  </r>
  <r>
    <s v="TXN-0276"/>
    <x v="3"/>
    <x v="3"/>
    <x v="5"/>
    <s v="Público"/>
    <s v="Cama Hospitalaria"/>
    <s v="Mobiliario Clínico"/>
    <s v="Rep_07"/>
    <n v="7"/>
    <n v="22000"/>
    <n v="13200"/>
    <n v="6.6000000000000003E-2"/>
    <x v="0"/>
    <n v="40"/>
    <n v="20548"/>
    <n v="143836"/>
    <n v="92400"/>
    <n v="51436"/>
    <n v="35.799999999999997"/>
    <n v="2.5000000000000001E-2"/>
    <n v="3595.9"/>
  </r>
  <r>
    <s v="TXN-0277"/>
    <x v="0"/>
    <x v="3"/>
    <x v="0"/>
    <s v="Privado"/>
    <s v="Oxímetro Portátil"/>
    <s v="Diagnóstico"/>
    <s v="Rep_05"/>
    <n v="5"/>
    <n v="8500"/>
    <n v="5100"/>
    <n v="3.4000000000000002E-2"/>
    <x v="0"/>
    <n v="21"/>
    <n v="8211"/>
    <n v="41055"/>
    <n v="25500"/>
    <n v="15555"/>
    <n v="37.9"/>
    <n v="0.06"/>
    <n v="2463.3000000000002"/>
  </r>
  <r>
    <s v="TXN-0278"/>
    <x v="1"/>
    <x v="1"/>
    <x v="4"/>
    <s v="Público"/>
    <s v="Bomba de Infusión"/>
    <s v="Medicación IV"/>
    <s v="Rep_08"/>
    <n v="4"/>
    <n v="28000"/>
    <n v="16800"/>
    <n v="0.17699999999999999"/>
    <x v="0"/>
    <n v="29"/>
    <n v="23044"/>
    <n v="92176"/>
    <n v="67200"/>
    <n v="24976"/>
    <n v="27.1"/>
    <n v="2.5000000000000001E-2"/>
    <n v="2304.4"/>
  </r>
  <r>
    <s v="TXN-0279"/>
    <x v="0"/>
    <x v="2"/>
    <x v="2"/>
    <s v="Público"/>
    <s v="Desfibrilador"/>
    <s v="Emergencias"/>
    <s v="Rep_06"/>
    <n v="2"/>
    <n v="95000"/>
    <n v="57000"/>
    <n v="0.187"/>
    <x v="0"/>
    <n v="43"/>
    <n v="77235"/>
    <n v="154470"/>
    <n v="114000"/>
    <n v="40470"/>
    <n v="26.2"/>
    <n v="2.5000000000000001E-2"/>
    <n v="3861.75"/>
  </r>
  <r>
    <s v="TXN-0280"/>
    <x v="1"/>
    <x v="4"/>
    <x v="1"/>
    <s v="Privado"/>
    <s v="Monitor de Signos"/>
    <s v="Equipo UCI"/>
    <s v="Rep_02"/>
    <n v="12"/>
    <n v="45000"/>
    <n v="27000"/>
    <n v="6.2E-2"/>
    <x v="0"/>
    <n v="21"/>
    <n v="42210"/>
    <n v="506520"/>
    <n v="324000"/>
    <n v="182520"/>
    <n v="36"/>
    <n v="0.06"/>
    <n v="30391.200000000001"/>
  </r>
  <r>
    <s v="TXN-0281"/>
    <x v="2"/>
    <x v="1"/>
    <x v="4"/>
    <s v="Público"/>
    <s v="Ventilador Mecánico"/>
    <s v="Equipo UCI"/>
    <s v="Rep_05"/>
    <n v="8"/>
    <n v="180000"/>
    <n v="108000"/>
    <n v="3.3000000000000002E-2"/>
    <x v="0"/>
    <n v="34"/>
    <n v="174060"/>
    <n v="1392480"/>
    <n v="864000"/>
    <n v="528480"/>
    <n v="38"/>
    <n v="2.5000000000000001E-2"/>
    <n v="34812"/>
  </r>
  <r>
    <s v="TXN-0282"/>
    <x v="1"/>
    <x v="1"/>
    <x v="1"/>
    <s v="Privado"/>
    <s v="Desfibrilador"/>
    <s v="Emergencias"/>
    <s v="Rep_02"/>
    <n v="7"/>
    <n v="95000"/>
    <n v="57000"/>
    <n v="1.4E-2"/>
    <x v="0"/>
    <n v="4"/>
    <n v="93670"/>
    <n v="655690"/>
    <n v="399000"/>
    <n v="256690"/>
    <n v="39.1"/>
    <n v="0.06"/>
    <n v="39341.4"/>
  </r>
  <r>
    <s v="TXN-0283"/>
    <x v="2"/>
    <x v="3"/>
    <x v="5"/>
    <s v="Público"/>
    <s v="Bomba de Infusión"/>
    <s v="Medicación IV"/>
    <s v="Rep_06"/>
    <n v="14"/>
    <n v="28000"/>
    <n v="16800"/>
    <n v="0.182"/>
    <x v="0"/>
    <n v="18"/>
    <n v="22904"/>
    <n v="320656"/>
    <n v="235200"/>
    <n v="85456"/>
    <n v="26.7"/>
    <n v="2.5000000000000001E-2"/>
    <n v="8016.4"/>
  </r>
  <r>
    <s v="TXN-0284"/>
    <x v="3"/>
    <x v="1"/>
    <x v="4"/>
    <s v="Público"/>
    <s v="Bomba de Infusión"/>
    <s v="Medicación IV"/>
    <s v="Rep_10"/>
    <n v="4"/>
    <n v="28000"/>
    <n v="16800"/>
    <n v="0.14799999999999999"/>
    <x v="0"/>
    <n v="23"/>
    <n v="23856"/>
    <n v="95424"/>
    <n v="67200"/>
    <n v="28224"/>
    <n v="29.6"/>
    <n v="2.5000000000000001E-2"/>
    <n v="2385.6"/>
  </r>
  <r>
    <s v="TXN-0285"/>
    <x v="2"/>
    <x v="4"/>
    <x v="3"/>
    <s v="Privado"/>
    <s v="Oxímetro Portátil"/>
    <s v="Diagnóstico"/>
    <s v="Rep_09"/>
    <n v="8"/>
    <n v="8500"/>
    <n v="5100"/>
    <n v="2.8000000000000001E-2"/>
    <x v="0"/>
    <n v="18"/>
    <n v="8262"/>
    <n v="66096"/>
    <n v="40800"/>
    <n v="25296"/>
    <n v="38.299999999999997"/>
    <n v="0.06"/>
    <n v="3965.76"/>
  </r>
  <r>
    <s v="TXN-0286"/>
    <x v="1"/>
    <x v="1"/>
    <x v="1"/>
    <s v="Privado"/>
    <s v="Ventilador Mecánico"/>
    <s v="Equipo UCI"/>
    <s v="Rep_03"/>
    <n v="9"/>
    <n v="180000"/>
    <n v="108000"/>
    <n v="1.7000000000000001E-2"/>
    <x v="0"/>
    <n v="3"/>
    <n v="176940"/>
    <n v="1592460"/>
    <n v="972000"/>
    <n v="620460"/>
    <n v="39"/>
    <n v="0.06"/>
    <n v="95547.6"/>
  </r>
  <r>
    <s v="TXN-0287"/>
    <x v="3"/>
    <x v="1"/>
    <x v="5"/>
    <s v="Público"/>
    <s v="Ventilador Mecánico"/>
    <s v="Equipo UCI"/>
    <s v="Rep_01"/>
    <n v="11"/>
    <n v="180000"/>
    <n v="108000"/>
    <n v="0.108"/>
    <x v="0"/>
    <n v="24"/>
    <n v="160560"/>
    <n v="1766160"/>
    <n v="1188000"/>
    <n v="578160"/>
    <n v="32.700000000000003"/>
    <n v="2.5000000000000001E-2"/>
    <n v="44154"/>
  </r>
  <r>
    <s v="TXN-0288"/>
    <x v="1"/>
    <x v="3"/>
    <x v="5"/>
    <s v="Público"/>
    <s v="Monitor de Signos"/>
    <s v="Equipo UCI"/>
    <s v="Rep_06"/>
    <n v="6"/>
    <n v="45000"/>
    <n v="27000"/>
    <n v="0.14599999999999999"/>
    <x v="0"/>
    <n v="27"/>
    <n v="38430"/>
    <n v="230580"/>
    <n v="162000"/>
    <n v="68580"/>
    <n v="29.7"/>
    <n v="2.5000000000000001E-2"/>
    <n v="5764.5"/>
  </r>
  <r>
    <s v="TXN-0289"/>
    <x v="0"/>
    <x v="3"/>
    <x v="4"/>
    <s v="Público"/>
    <s v="Oxímetro Portátil"/>
    <s v="Diagnóstico"/>
    <s v="Rep_02"/>
    <n v="7"/>
    <n v="8500"/>
    <n v="5100"/>
    <n v="0.12"/>
    <x v="0"/>
    <n v="27"/>
    <n v="7480"/>
    <n v="52360"/>
    <n v="35700"/>
    <n v="16660"/>
    <n v="31.8"/>
    <n v="2.5000000000000001E-2"/>
    <n v="1309"/>
  </r>
  <r>
    <s v="TXN-0290"/>
    <x v="2"/>
    <x v="3"/>
    <x v="4"/>
    <s v="Público"/>
    <s v="Bomba de Infusión"/>
    <s v="Medicación IV"/>
    <s v="Rep_03"/>
    <n v="5"/>
    <n v="28000"/>
    <n v="16800"/>
    <n v="0.16"/>
    <x v="0"/>
    <n v="22"/>
    <n v="23520"/>
    <n v="117600"/>
    <n v="84000"/>
    <n v="33600"/>
    <n v="28.6"/>
    <n v="2.5000000000000001E-2"/>
    <n v="2940"/>
  </r>
  <r>
    <s v="TXN-0291"/>
    <x v="2"/>
    <x v="0"/>
    <x v="4"/>
    <s v="Público"/>
    <s v="Cama Hospitalaria"/>
    <s v="Mobiliario Clínico"/>
    <s v="Rep_04"/>
    <n v="6"/>
    <n v="22000"/>
    <n v="13200"/>
    <n v="0.17199999999999999"/>
    <x v="0"/>
    <n v="35"/>
    <n v="18216"/>
    <n v="109296"/>
    <n v="79200"/>
    <n v="30096"/>
    <n v="27.5"/>
    <n v="2.5000000000000001E-2"/>
    <n v="2732.4"/>
  </r>
  <r>
    <s v="TXN-0292"/>
    <x v="3"/>
    <x v="2"/>
    <x v="0"/>
    <s v="Privado"/>
    <s v="Monitor de Signos"/>
    <s v="Equipo UCI"/>
    <s v="Rep_01"/>
    <n v="14"/>
    <n v="45000"/>
    <n v="27000"/>
    <n v="2.4E-2"/>
    <x v="1"/>
    <n v="44"/>
    <n v="43920"/>
    <n v="614880"/>
    <n v="378000"/>
    <n v="236880"/>
    <n v="38.5"/>
    <n v="0.06"/>
    <n v="36892.800000000003"/>
  </r>
  <r>
    <s v="TXN-0293"/>
    <x v="3"/>
    <x v="0"/>
    <x v="5"/>
    <s v="Público"/>
    <s v="Bomba de Infusión"/>
    <s v="Medicación IV"/>
    <s v="Rep_02"/>
    <n v="5"/>
    <n v="28000"/>
    <n v="16800"/>
    <n v="1.4E-2"/>
    <x v="0"/>
    <n v="19"/>
    <n v="27608"/>
    <n v="138040"/>
    <n v="84000"/>
    <n v="54040"/>
    <n v="39.1"/>
    <n v="2.5000000000000001E-2"/>
    <n v="3451"/>
  </r>
  <r>
    <s v="TXN-0294"/>
    <x v="3"/>
    <x v="1"/>
    <x v="1"/>
    <s v="Privado"/>
    <s v="Desfibrilador"/>
    <s v="Emergencias"/>
    <s v="Rep_04"/>
    <n v="9"/>
    <n v="95000"/>
    <n v="57000"/>
    <n v="3.3000000000000002E-2"/>
    <x v="0"/>
    <n v="42"/>
    <n v="91865"/>
    <n v="826785"/>
    <n v="513000"/>
    <n v="313785"/>
    <n v="38"/>
    <n v="0.06"/>
    <n v="49607.1"/>
  </r>
  <r>
    <s v="TXN-0295"/>
    <x v="1"/>
    <x v="4"/>
    <x v="4"/>
    <s v="Público"/>
    <s v="Desfibrilador"/>
    <s v="Emergencias"/>
    <s v="Rep_09"/>
    <n v="11"/>
    <n v="95000"/>
    <n v="57000"/>
    <n v="9.5000000000000001E-2"/>
    <x v="0"/>
    <n v="44"/>
    <n v="85975"/>
    <n v="945725"/>
    <n v="627000"/>
    <n v="318725"/>
    <n v="33.700000000000003"/>
    <n v="2.5000000000000001E-2"/>
    <n v="23643.119999999999"/>
  </r>
  <r>
    <s v="TXN-0296"/>
    <x v="2"/>
    <x v="0"/>
    <x v="0"/>
    <s v="Privado"/>
    <s v="Desfibrilador"/>
    <s v="Emergencias"/>
    <s v="Rep_02"/>
    <n v="2"/>
    <n v="95000"/>
    <n v="57000"/>
    <n v="4.9000000000000002E-2"/>
    <x v="0"/>
    <n v="25"/>
    <n v="90345"/>
    <n v="180690"/>
    <n v="114000"/>
    <n v="66690"/>
    <n v="36.9"/>
    <n v="0.06"/>
    <n v="10841.4"/>
  </r>
  <r>
    <s v="TXN-0297"/>
    <x v="1"/>
    <x v="1"/>
    <x v="3"/>
    <s v="Privado"/>
    <s v="Electrocardiógrafo"/>
    <s v="Diagnóstico"/>
    <s v="Rep_10"/>
    <n v="13"/>
    <n v="32000"/>
    <n v="19200"/>
    <n v="3.6999999999999998E-2"/>
    <x v="0"/>
    <n v="28"/>
    <n v="30816"/>
    <n v="400608"/>
    <n v="249600"/>
    <n v="151008"/>
    <n v="37.700000000000003"/>
    <n v="0.06"/>
    <n v="24036.48"/>
  </r>
  <r>
    <s v="TXN-0298"/>
    <x v="2"/>
    <x v="0"/>
    <x v="1"/>
    <s v="Privado"/>
    <s v="Bomba de Infusión"/>
    <s v="Medicación IV"/>
    <s v="Rep_04"/>
    <n v="6"/>
    <n v="28000"/>
    <n v="16800"/>
    <n v="8.7999999999999995E-2"/>
    <x v="1"/>
    <n v="37"/>
    <n v="25536"/>
    <n v="153216"/>
    <n v="100800"/>
    <n v="52416"/>
    <n v="34.200000000000003"/>
    <n v="0.06"/>
    <n v="9192.9599999999991"/>
  </r>
  <r>
    <s v="TXN-0299"/>
    <x v="0"/>
    <x v="3"/>
    <x v="5"/>
    <s v="Público"/>
    <s v="Monitor de Signos"/>
    <s v="Equipo UCI"/>
    <s v="Rep_08"/>
    <n v="4"/>
    <n v="45000"/>
    <n v="27000"/>
    <n v="0.05"/>
    <x v="0"/>
    <n v="6"/>
    <n v="42750"/>
    <n v="171000"/>
    <n v="108000"/>
    <n v="63000"/>
    <n v="36.799999999999997"/>
    <n v="2.5000000000000001E-2"/>
    <n v="4275"/>
  </r>
  <r>
    <s v="TXN-0300"/>
    <x v="0"/>
    <x v="1"/>
    <x v="2"/>
    <s v="Público"/>
    <s v="Bomba de Infusión"/>
    <s v="Medicación IV"/>
    <s v="Rep_09"/>
    <n v="12"/>
    <n v="28000"/>
    <n v="16800"/>
    <n v="7.6999999999999999E-2"/>
    <x v="0"/>
    <n v="3"/>
    <n v="25844"/>
    <n v="310128"/>
    <n v="201600"/>
    <n v="108528"/>
    <n v="35"/>
    <n v="2.5000000000000001E-2"/>
    <n v="7753.2"/>
  </r>
  <r>
    <s v="TXN-0301"/>
    <x v="1"/>
    <x v="1"/>
    <x v="3"/>
    <s v="Privado"/>
    <s v="Bomba de Infusión"/>
    <s v="Medicación IV"/>
    <s v="Rep_06"/>
    <n v="5"/>
    <n v="28000"/>
    <n v="16800"/>
    <n v="2.1999999999999999E-2"/>
    <x v="0"/>
    <n v="42"/>
    <n v="27384"/>
    <n v="136920"/>
    <n v="84000"/>
    <n v="52920"/>
    <n v="38.700000000000003"/>
    <n v="0.06"/>
    <n v="8215.2000000000007"/>
  </r>
  <r>
    <s v="TXN-0302"/>
    <x v="2"/>
    <x v="4"/>
    <x v="4"/>
    <s v="Público"/>
    <s v="Monitor de Signos"/>
    <s v="Equipo UCI"/>
    <s v="Rep_05"/>
    <n v="14"/>
    <n v="45000"/>
    <n v="27000"/>
    <n v="4.2999999999999997E-2"/>
    <x v="1"/>
    <n v="44"/>
    <n v="43065"/>
    <n v="602910"/>
    <n v="378000"/>
    <n v="224910"/>
    <n v="37.299999999999997"/>
    <n v="2.5000000000000001E-2"/>
    <n v="15072.75"/>
  </r>
  <r>
    <s v="TXN-0303"/>
    <x v="1"/>
    <x v="0"/>
    <x v="3"/>
    <s v="Privado"/>
    <s v="Monitor de Signos"/>
    <s v="Equipo UCI"/>
    <s v="Rep_10"/>
    <n v="9"/>
    <n v="45000"/>
    <n v="27000"/>
    <n v="7.0000000000000007E-2"/>
    <x v="0"/>
    <n v="30"/>
    <n v="41850"/>
    <n v="376650"/>
    <n v="243000"/>
    <n v="133650"/>
    <n v="35.5"/>
    <n v="0.06"/>
    <n v="22599"/>
  </r>
  <r>
    <s v="TXN-0304"/>
    <x v="3"/>
    <x v="0"/>
    <x v="3"/>
    <s v="Privado"/>
    <s v="Cama Hospitalaria"/>
    <s v="Mobiliario Clínico"/>
    <s v="Rep_01"/>
    <n v="3"/>
    <n v="22000"/>
    <n v="13200"/>
    <n v="7.0000000000000007E-2"/>
    <x v="0"/>
    <n v="17"/>
    <n v="20460"/>
    <n v="61380"/>
    <n v="39600"/>
    <n v="21780"/>
    <n v="35.5"/>
    <n v="0.06"/>
    <n v="3682.8"/>
  </r>
  <r>
    <s v="TXN-0305"/>
    <x v="1"/>
    <x v="2"/>
    <x v="4"/>
    <s v="Público"/>
    <s v="Monitor de Signos"/>
    <s v="Equipo UCI"/>
    <s v="Rep_08"/>
    <n v="6"/>
    <n v="45000"/>
    <n v="27000"/>
    <n v="3.6999999999999998E-2"/>
    <x v="1"/>
    <n v="28"/>
    <n v="43335"/>
    <n v="260010"/>
    <n v="162000"/>
    <n v="98010"/>
    <n v="37.700000000000003"/>
    <n v="2.5000000000000001E-2"/>
    <n v="6500.25"/>
  </r>
  <r>
    <s v="TXN-0306"/>
    <x v="3"/>
    <x v="1"/>
    <x v="0"/>
    <s v="Privado"/>
    <s v="Cama Hospitalaria"/>
    <s v="Mobiliario Clínico"/>
    <s v="Rep_09"/>
    <n v="8"/>
    <n v="22000"/>
    <n v="13200"/>
    <n v="8.5999999999999993E-2"/>
    <x v="1"/>
    <n v="8"/>
    <n v="20108"/>
    <n v="160864"/>
    <n v="105600"/>
    <n v="55264"/>
    <n v="34.4"/>
    <n v="0.06"/>
    <n v="9651.84"/>
  </r>
  <r>
    <s v="TXN-0307"/>
    <x v="1"/>
    <x v="0"/>
    <x v="3"/>
    <s v="Privado"/>
    <s v="Silla de Ruedas Elec."/>
    <s v="Rehabilitación"/>
    <s v="Rep_01"/>
    <n v="13"/>
    <n v="35000"/>
    <n v="21000"/>
    <n v="6.0999999999999999E-2"/>
    <x v="0"/>
    <n v="44"/>
    <n v="32865"/>
    <n v="427245"/>
    <n v="273000"/>
    <n v="154245"/>
    <n v="36.1"/>
    <n v="0.06"/>
    <n v="25634.7"/>
  </r>
  <r>
    <s v="TXN-0308"/>
    <x v="2"/>
    <x v="3"/>
    <x v="1"/>
    <s v="Privado"/>
    <s v="Desfibrilador"/>
    <s v="Emergencias"/>
    <s v="Rep_09"/>
    <n v="2"/>
    <n v="95000"/>
    <n v="57000"/>
    <n v="8.0000000000000002E-3"/>
    <x v="0"/>
    <n v="4"/>
    <n v="94240"/>
    <n v="188480"/>
    <n v="114000"/>
    <n v="74480"/>
    <n v="39.5"/>
    <n v="0.06"/>
    <n v="11308.8"/>
  </r>
  <r>
    <s v="TXN-0309"/>
    <x v="0"/>
    <x v="2"/>
    <x v="1"/>
    <s v="Privado"/>
    <s v="Monitor de Signos"/>
    <s v="Equipo UCI"/>
    <s v="Rep_04"/>
    <n v="14"/>
    <n v="45000"/>
    <n v="27000"/>
    <n v="2E-3"/>
    <x v="0"/>
    <n v="7"/>
    <n v="44910"/>
    <n v="628740"/>
    <n v="378000"/>
    <n v="250740"/>
    <n v="39.9"/>
    <n v="0.06"/>
    <n v="37724.400000000001"/>
  </r>
  <r>
    <s v="TXN-0310"/>
    <x v="3"/>
    <x v="1"/>
    <x v="5"/>
    <s v="Público"/>
    <s v="Ventilador Mecánico"/>
    <s v="Equipo UCI"/>
    <s v="Rep_06"/>
    <n v="7"/>
    <n v="180000"/>
    <n v="108000"/>
    <n v="0.16900000000000001"/>
    <x v="0"/>
    <n v="40"/>
    <n v="149580"/>
    <n v="1047060"/>
    <n v="756000"/>
    <n v="291060"/>
    <n v="27.8"/>
    <n v="2.5000000000000001E-2"/>
    <n v="26176.5"/>
  </r>
  <r>
    <s v="TXN-0311"/>
    <x v="2"/>
    <x v="0"/>
    <x v="5"/>
    <s v="Público"/>
    <s v="Silla de Ruedas Elec."/>
    <s v="Rehabilitación"/>
    <s v="Rep_03"/>
    <n v="5"/>
    <n v="35000"/>
    <n v="21000"/>
    <n v="3.6999999999999998E-2"/>
    <x v="1"/>
    <n v="30"/>
    <n v="33705"/>
    <n v="168525"/>
    <n v="105000"/>
    <n v="63525"/>
    <n v="37.700000000000003"/>
    <n v="2.5000000000000001E-2"/>
    <n v="4213.12"/>
  </r>
  <r>
    <s v="TXN-0312"/>
    <x v="1"/>
    <x v="0"/>
    <x v="4"/>
    <s v="Público"/>
    <s v="Bomba de Infusión"/>
    <s v="Medicación IV"/>
    <s v="Rep_01"/>
    <n v="10"/>
    <n v="28000"/>
    <n v="16800"/>
    <n v="5.0999999999999997E-2"/>
    <x v="0"/>
    <n v="31"/>
    <n v="26572"/>
    <n v="265720"/>
    <n v="168000"/>
    <n v="97720"/>
    <n v="36.799999999999997"/>
    <n v="2.5000000000000001E-2"/>
    <n v="6643"/>
  </r>
  <r>
    <s v="TXN-0313"/>
    <x v="2"/>
    <x v="2"/>
    <x v="3"/>
    <s v="Privado"/>
    <s v="Ventilador Mecánico"/>
    <s v="Equipo UCI"/>
    <s v="Rep_04"/>
    <n v="7"/>
    <n v="180000"/>
    <n v="108000"/>
    <n v="5.8999999999999997E-2"/>
    <x v="0"/>
    <n v="25"/>
    <n v="169380"/>
    <n v="1185660"/>
    <n v="756000"/>
    <n v="429660"/>
    <n v="36.200000000000003"/>
    <n v="0.06"/>
    <n v="71139.600000000006"/>
  </r>
  <r>
    <s v="TXN-0314"/>
    <x v="3"/>
    <x v="4"/>
    <x v="6"/>
    <s v="Privado"/>
    <s v="Bomba de Infusión"/>
    <s v="Medicación IV"/>
    <s v="Rep_08"/>
    <n v="11"/>
    <n v="28000"/>
    <n v="16800"/>
    <n v="0.1"/>
    <x v="0"/>
    <n v="6"/>
    <n v="25200"/>
    <n v="277200"/>
    <n v="184800"/>
    <n v="92400"/>
    <n v="33.299999999999997"/>
    <n v="0.06"/>
    <n v="16632"/>
  </r>
  <r>
    <s v="TXN-0315"/>
    <x v="0"/>
    <x v="1"/>
    <x v="3"/>
    <s v="Privado"/>
    <s v="Bomba de Infusión"/>
    <s v="Medicación IV"/>
    <s v="Rep_10"/>
    <n v="12"/>
    <n v="28000"/>
    <n v="16800"/>
    <n v="6.6000000000000003E-2"/>
    <x v="1"/>
    <n v="30"/>
    <n v="26152"/>
    <n v="313824"/>
    <n v="201600"/>
    <n v="112224"/>
    <n v="35.799999999999997"/>
    <n v="0.06"/>
    <n v="18829.439999999999"/>
  </r>
  <r>
    <s v="TXN-0316"/>
    <x v="2"/>
    <x v="0"/>
    <x v="4"/>
    <s v="Público"/>
    <s v="Oxímetro Portátil"/>
    <s v="Diagnóstico"/>
    <s v="Rep_02"/>
    <n v="6"/>
    <n v="8500"/>
    <n v="5100"/>
    <n v="4.3999999999999997E-2"/>
    <x v="0"/>
    <n v="32"/>
    <n v="8126"/>
    <n v="48756"/>
    <n v="30600"/>
    <n v="18156"/>
    <n v="37.200000000000003"/>
    <n v="2.5000000000000001E-2"/>
    <n v="1218.9000000000001"/>
  </r>
  <r>
    <s v="TXN-0317"/>
    <x v="3"/>
    <x v="0"/>
    <x v="3"/>
    <s v="Privado"/>
    <s v="Ventilador Mecánico"/>
    <s v="Equipo UCI"/>
    <s v="Rep_06"/>
    <n v="3"/>
    <n v="180000"/>
    <n v="108000"/>
    <n v="8.9999999999999993E-3"/>
    <x v="0"/>
    <n v="23"/>
    <n v="178380"/>
    <n v="535140"/>
    <n v="324000"/>
    <n v="211140"/>
    <n v="39.5"/>
    <n v="0.06"/>
    <n v="32108.400000000001"/>
  </r>
  <r>
    <s v="TXN-0318"/>
    <x v="1"/>
    <x v="1"/>
    <x v="1"/>
    <s v="Privado"/>
    <s v="Monitor de Signos"/>
    <s v="Equipo UCI"/>
    <s v="Rep_08"/>
    <n v="13"/>
    <n v="45000"/>
    <n v="27000"/>
    <n v="8.5999999999999993E-2"/>
    <x v="0"/>
    <n v="15"/>
    <n v="41130"/>
    <n v="534690"/>
    <n v="351000"/>
    <n v="183690"/>
    <n v="34.4"/>
    <n v="0.06"/>
    <n v="32081.4"/>
  </r>
  <r>
    <s v="TXN-0319"/>
    <x v="1"/>
    <x v="1"/>
    <x v="3"/>
    <s v="Privado"/>
    <s v="Silla de Ruedas Elec."/>
    <s v="Rehabilitación"/>
    <s v="Rep_06"/>
    <n v="13"/>
    <n v="35000"/>
    <n v="21000"/>
    <n v="0.06"/>
    <x v="1"/>
    <n v="43"/>
    <n v="32900"/>
    <n v="427700"/>
    <n v="273000"/>
    <n v="154700"/>
    <n v="36.200000000000003"/>
    <n v="0.06"/>
    <n v="25662"/>
  </r>
  <r>
    <s v="TXN-0320"/>
    <x v="3"/>
    <x v="1"/>
    <x v="6"/>
    <s v="Privado"/>
    <s v="Monitor de Signos"/>
    <s v="Equipo UCI"/>
    <s v="Rep_02"/>
    <n v="13"/>
    <n v="45000"/>
    <n v="27000"/>
    <n v="0.11"/>
    <x v="0"/>
    <n v="19"/>
    <n v="40050"/>
    <n v="520650"/>
    <n v="351000"/>
    <n v="169650"/>
    <n v="32.6"/>
    <n v="0.06"/>
    <n v="31239"/>
  </r>
  <r>
    <s v="TXN-0321"/>
    <x v="2"/>
    <x v="0"/>
    <x v="4"/>
    <s v="Público"/>
    <s v="Bomba de Infusión"/>
    <s v="Medicación IV"/>
    <s v="Rep_01"/>
    <n v="10"/>
    <n v="28000"/>
    <n v="16800"/>
    <n v="2.5999999999999999E-2"/>
    <x v="0"/>
    <n v="9"/>
    <n v="27272"/>
    <n v="272720"/>
    <n v="168000"/>
    <n v="104720"/>
    <n v="38.4"/>
    <n v="2.5000000000000001E-2"/>
    <n v="6818"/>
  </r>
  <r>
    <s v="TXN-0322"/>
    <x v="0"/>
    <x v="1"/>
    <x v="3"/>
    <s v="Privado"/>
    <s v="Oxímetro Portátil"/>
    <s v="Diagnóstico"/>
    <s v="Rep_04"/>
    <n v="9"/>
    <n v="8500"/>
    <n v="5100"/>
    <n v="6.0999999999999999E-2"/>
    <x v="1"/>
    <n v="16"/>
    <n v="7981.5"/>
    <n v="71833.5"/>
    <n v="45900"/>
    <n v="25933.5"/>
    <n v="36.1"/>
    <n v="0.06"/>
    <n v="4310.01"/>
  </r>
  <r>
    <s v="TXN-0323"/>
    <x v="1"/>
    <x v="1"/>
    <x v="0"/>
    <s v="Privado"/>
    <s v="Desfibrilador"/>
    <s v="Emergencias"/>
    <s v="Rep_06"/>
    <n v="2"/>
    <n v="95000"/>
    <n v="57000"/>
    <n v="7.2999999999999995E-2"/>
    <x v="0"/>
    <n v="27"/>
    <n v="88065"/>
    <n v="176130"/>
    <n v="114000"/>
    <n v="62130"/>
    <n v="35.299999999999997"/>
    <n v="0.06"/>
    <n v="10567.8"/>
  </r>
  <r>
    <s v="TXN-0324"/>
    <x v="0"/>
    <x v="1"/>
    <x v="3"/>
    <s v="Privado"/>
    <s v="Monitor de Signos"/>
    <s v="Equipo UCI"/>
    <s v="Rep_03"/>
    <n v="8"/>
    <n v="45000"/>
    <n v="27000"/>
    <n v="4.1000000000000002E-2"/>
    <x v="0"/>
    <n v="32"/>
    <n v="43155"/>
    <n v="345240"/>
    <n v="216000"/>
    <n v="129240"/>
    <n v="37.4"/>
    <n v="0.06"/>
    <n v="20714.400000000001"/>
  </r>
  <r>
    <s v="TXN-0325"/>
    <x v="0"/>
    <x v="3"/>
    <x v="5"/>
    <s v="Público"/>
    <s v="Desfibrilador"/>
    <s v="Emergencias"/>
    <s v="Rep_09"/>
    <n v="4"/>
    <n v="95000"/>
    <n v="57000"/>
    <n v="5.8000000000000003E-2"/>
    <x v="0"/>
    <n v="27"/>
    <n v="89490"/>
    <n v="357960"/>
    <n v="228000"/>
    <n v="129960"/>
    <n v="36.299999999999997"/>
    <n v="2.5000000000000001E-2"/>
    <n v="8949"/>
  </r>
  <r>
    <s v="TXN-0326"/>
    <x v="2"/>
    <x v="1"/>
    <x v="5"/>
    <s v="Público"/>
    <s v="Ventilador Mecánico"/>
    <s v="Equipo UCI"/>
    <s v="Rep_02"/>
    <n v="13"/>
    <n v="180000"/>
    <n v="108000"/>
    <n v="3.1E-2"/>
    <x v="0"/>
    <n v="14"/>
    <n v="174420"/>
    <n v="2267460"/>
    <n v="1404000"/>
    <n v="863460"/>
    <n v="38.1"/>
    <n v="2.5000000000000001E-2"/>
    <n v="56686.5"/>
  </r>
  <r>
    <s v="TXN-0327"/>
    <x v="2"/>
    <x v="2"/>
    <x v="3"/>
    <s v="Privado"/>
    <s v="Monitor de Signos"/>
    <s v="Equipo UCI"/>
    <s v="Rep_02"/>
    <n v="7"/>
    <n v="45000"/>
    <n v="27000"/>
    <n v="4.2999999999999997E-2"/>
    <x v="1"/>
    <n v="43"/>
    <n v="43065"/>
    <n v="301455"/>
    <n v="189000"/>
    <n v="112455"/>
    <n v="37.299999999999997"/>
    <n v="0.06"/>
    <n v="18087.3"/>
  </r>
  <r>
    <s v="TXN-0328"/>
    <x v="3"/>
    <x v="2"/>
    <x v="3"/>
    <s v="Privado"/>
    <s v="Silla de Ruedas Elec."/>
    <s v="Rehabilitación"/>
    <s v="Rep_05"/>
    <n v="11"/>
    <n v="35000"/>
    <n v="21000"/>
    <n v="3.3000000000000002E-2"/>
    <x v="0"/>
    <n v="35"/>
    <n v="33845"/>
    <n v="372295"/>
    <n v="231000"/>
    <n v="141295"/>
    <n v="38"/>
    <n v="0.06"/>
    <n v="22337.7"/>
  </r>
  <r>
    <s v="TXN-0329"/>
    <x v="1"/>
    <x v="1"/>
    <x v="0"/>
    <s v="Privado"/>
    <s v="Bomba de Infusión"/>
    <s v="Medicación IV"/>
    <s v="Rep_03"/>
    <n v="1"/>
    <n v="28000"/>
    <n v="16800"/>
    <n v="5.1999999999999998E-2"/>
    <x v="1"/>
    <n v="43"/>
    <n v="26544"/>
    <n v="26544"/>
    <n v="16800"/>
    <n v="9744"/>
    <n v="36.700000000000003"/>
    <n v="0.06"/>
    <n v="1592.64"/>
  </r>
  <r>
    <s v="TXN-0330"/>
    <x v="1"/>
    <x v="1"/>
    <x v="5"/>
    <s v="Público"/>
    <s v="Desfibrilador"/>
    <s v="Emergencias"/>
    <s v="Rep_09"/>
    <n v="11"/>
    <n v="95000"/>
    <n v="57000"/>
    <n v="0.09"/>
    <x v="0"/>
    <n v="5"/>
    <n v="86450"/>
    <n v="950950"/>
    <n v="627000"/>
    <n v="323950"/>
    <n v="34.1"/>
    <n v="2.5000000000000001E-2"/>
    <n v="23773.75"/>
  </r>
  <r>
    <s v="TXN-0331"/>
    <x v="3"/>
    <x v="3"/>
    <x v="2"/>
    <s v="Público"/>
    <s v="Ventilador Mecánico"/>
    <s v="Equipo UCI"/>
    <s v="Rep_08"/>
    <n v="2"/>
    <n v="180000"/>
    <n v="108000"/>
    <n v="0.11799999999999999"/>
    <x v="0"/>
    <n v="18"/>
    <n v="158760"/>
    <n v="317520"/>
    <n v="216000"/>
    <n v="101520"/>
    <n v="32"/>
    <n v="2.5000000000000001E-2"/>
    <n v="7938"/>
  </r>
  <r>
    <s v="TXN-0332"/>
    <x v="1"/>
    <x v="3"/>
    <x v="5"/>
    <s v="Público"/>
    <s v="Desfibrilador"/>
    <s v="Emergencias"/>
    <s v="Rep_02"/>
    <n v="10"/>
    <n v="95000"/>
    <n v="57000"/>
    <n v="0.11700000000000001"/>
    <x v="0"/>
    <n v="11"/>
    <n v="83885"/>
    <n v="838850"/>
    <n v="570000"/>
    <n v="268850"/>
    <n v="32"/>
    <n v="2.5000000000000001E-2"/>
    <n v="20971.25"/>
  </r>
  <r>
    <s v="TXN-0333"/>
    <x v="1"/>
    <x v="2"/>
    <x v="4"/>
    <s v="Público"/>
    <s v="Monitor de Signos"/>
    <s v="Equipo UCI"/>
    <s v="Rep_10"/>
    <n v="5"/>
    <n v="45000"/>
    <n v="27000"/>
    <n v="0.114"/>
    <x v="0"/>
    <n v="12"/>
    <n v="39870"/>
    <n v="199350"/>
    <n v="135000"/>
    <n v="64350"/>
    <n v="32.299999999999997"/>
    <n v="2.5000000000000001E-2"/>
    <n v="4983.75"/>
  </r>
  <r>
    <s v="TXN-0334"/>
    <x v="3"/>
    <x v="0"/>
    <x v="5"/>
    <s v="Público"/>
    <s v="Cama Hospitalaria"/>
    <s v="Mobiliario Clínico"/>
    <s v="Rep_06"/>
    <n v="9"/>
    <n v="22000"/>
    <n v="13200"/>
    <n v="3.3000000000000002E-2"/>
    <x v="0"/>
    <n v="19"/>
    <n v="21274"/>
    <n v="191466"/>
    <n v="118800"/>
    <n v="72666"/>
    <n v="38"/>
    <n v="2.5000000000000001E-2"/>
    <n v="4786.6499999999996"/>
  </r>
  <r>
    <s v="TXN-0335"/>
    <x v="2"/>
    <x v="1"/>
    <x v="5"/>
    <s v="Público"/>
    <s v="Cama Hospitalaria"/>
    <s v="Mobiliario Clínico"/>
    <s v="Rep_05"/>
    <n v="11"/>
    <n v="22000"/>
    <n v="13200"/>
    <n v="0.10199999999999999"/>
    <x v="1"/>
    <n v="11"/>
    <n v="19756"/>
    <n v="217316"/>
    <n v="145200"/>
    <n v="72116"/>
    <n v="33.200000000000003"/>
    <n v="2.5000000000000001E-2"/>
    <n v="5432.9"/>
  </r>
  <r>
    <s v="TXN-0336"/>
    <x v="3"/>
    <x v="1"/>
    <x v="3"/>
    <s v="Privado"/>
    <s v="Ventilador Mecánico"/>
    <s v="Equipo UCI"/>
    <s v="Rep_04"/>
    <n v="12"/>
    <n v="180000"/>
    <n v="108000"/>
    <n v="6.8000000000000005E-2"/>
    <x v="0"/>
    <n v="17"/>
    <n v="167760"/>
    <n v="2013120"/>
    <n v="1296000"/>
    <n v="717120"/>
    <n v="35.6"/>
    <n v="0.06"/>
    <n v="120787.2"/>
  </r>
  <r>
    <s v="TXN-0337"/>
    <x v="1"/>
    <x v="4"/>
    <x v="1"/>
    <s v="Privado"/>
    <s v="Desfibrilador"/>
    <s v="Emergencias"/>
    <s v="Rep_02"/>
    <n v="2"/>
    <n v="95000"/>
    <n v="57000"/>
    <n v="4.2999999999999997E-2"/>
    <x v="0"/>
    <n v="28"/>
    <n v="90915"/>
    <n v="181830"/>
    <n v="114000"/>
    <n v="67830"/>
    <n v="37.299999999999997"/>
    <n v="0.06"/>
    <n v="10909.8"/>
  </r>
  <r>
    <s v="TXN-0338"/>
    <x v="1"/>
    <x v="1"/>
    <x v="5"/>
    <s v="Público"/>
    <s v="Silla de Ruedas Elec."/>
    <s v="Rehabilitación"/>
    <s v="Rep_08"/>
    <n v="7"/>
    <n v="35000"/>
    <n v="21000"/>
    <n v="0.125"/>
    <x v="0"/>
    <n v="4"/>
    <n v="30625"/>
    <n v="214375"/>
    <n v="147000"/>
    <n v="67375"/>
    <n v="31.4"/>
    <n v="2.5000000000000001E-2"/>
    <n v="5359.38"/>
  </r>
  <r>
    <s v="TXN-0339"/>
    <x v="1"/>
    <x v="2"/>
    <x v="5"/>
    <s v="Público"/>
    <s v="Electrocardiógrafo"/>
    <s v="Diagnóstico"/>
    <s v="Rep_03"/>
    <n v="14"/>
    <n v="32000"/>
    <n v="19200"/>
    <n v="8.9999999999999993E-3"/>
    <x v="0"/>
    <n v="19"/>
    <n v="31712"/>
    <n v="443968"/>
    <n v="268800"/>
    <n v="175168"/>
    <n v="39.5"/>
    <n v="2.5000000000000001E-2"/>
    <n v="11099.2"/>
  </r>
  <r>
    <s v="TXN-0340"/>
    <x v="0"/>
    <x v="1"/>
    <x v="6"/>
    <s v="Privado"/>
    <s v="Bomba de Infusión"/>
    <s v="Medicación IV"/>
    <s v="Rep_08"/>
    <n v="5"/>
    <n v="28000"/>
    <n v="16800"/>
    <n v="0.03"/>
    <x v="0"/>
    <n v="27"/>
    <n v="27160"/>
    <n v="135800"/>
    <n v="84000"/>
    <n v="51800"/>
    <n v="38.1"/>
    <n v="0.06"/>
    <n v="8148"/>
  </r>
  <r>
    <s v="TXN-0341"/>
    <x v="1"/>
    <x v="2"/>
    <x v="2"/>
    <s v="Público"/>
    <s v="Electrocardiógrafo"/>
    <s v="Diagnóstico"/>
    <s v="Rep_04"/>
    <n v="13"/>
    <n v="32000"/>
    <n v="19200"/>
    <n v="5.7000000000000002E-2"/>
    <x v="0"/>
    <n v="42"/>
    <n v="30176"/>
    <n v="392288"/>
    <n v="249600"/>
    <n v="142688"/>
    <n v="36.4"/>
    <n v="2.5000000000000001E-2"/>
    <n v="9807.2000000000007"/>
  </r>
  <r>
    <s v="TXN-0342"/>
    <x v="3"/>
    <x v="3"/>
    <x v="1"/>
    <s v="Privado"/>
    <s v="Silla de Ruedas Elec."/>
    <s v="Rehabilitación"/>
    <s v="Rep_03"/>
    <n v="1"/>
    <n v="35000"/>
    <n v="21000"/>
    <n v="0"/>
    <x v="0"/>
    <n v="43"/>
    <n v="35000"/>
    <n v="35000"/>
    <n v="21000"/>
    <n v="14000"/>
    <n v="40"/>
    <n v="0.06"/>
    <n v="2100"/>
  </r>
  <r>
    <s v="TXN-0343"/>
    <x v="0"/>
    <x v="0"/>
    <x v="5"/>
    <s v="Público"/>
    <s v="Cama Hospitalaria"/>
    <s v="Mobiliario Clínico"/>
    <s v="Rep_07"/>
    <n v="5"/>
    <n v="22000"/>
    <n v="13200"/>
    <n v="0.185"/>
    <x v="0"/>
    <n v="33"/>
    <n v="17930"/>
    <n v="89650"/>
    <n v="66000"/>
    <n v="23650"/>
    <n v="26.4"/>
    <n v="2.5000000000000001E-2"/>
    <n v="2241.25"/>
  </r>
  <r>
    <s v="TXN-0344"/>
    <x v="3"/>
    <x v="4"/>
    <x v="5"/>
    <s v="Público"/>
    <s v="Electrocardiógrafo"/>
    <s v="Diagnóstico"/>
    <s v="Rep_08"/>
    <n v="8"/>
    <n v="32000"/>
    <n v="19200"/>
    <n v="0.08"/>
    <x v="0"/>
    <n v="37"/>
    <n v="29440"/>
    <n v="235520"/>
    <n v="153600"/>
    <n v="81920"/>
    <n v="34.799999999999997"/>
    <n v="2.5000000000000001E-2"/>
    <n v="5888"/>
  </r>
  <r>
    <s v="TXN-0345"/>
    <x v="2"/>
    <x v="3"/>
    <x v="4"/>
    <s v="Público"/>
    <s v="Monitor de Signos"/>
    <s v="Equipo UCI"/>
    <s v="Rep_08"/>
    <n v="6"/>
    <n v="45000"/>
    <n v="27000"/>
    <n v="0.13900000000000001"/>
    <x v="1"/>
    <n v="30"/>
    <n v="38745"/>
    <n v="232470"/>
    <n v="162000"/>
    <n v="70470"/>
    <n v="30.3"/>
    <n v="2.5000000000000001E-2"/>
    <n v="5811.75"/>
  </r>
  <r>
    <s v="TXN-0346"/>
    <x v="3"/>
    <x v="0"/>
    <x v="1"/>
    <s v="Privado"/>
    <s v="Cama Hospitalaria"/>
    <s v="Mobiliario Clínico"/>
    <s v="Rep_10"/>
    <n v="3"/>
    <n v="22000"/>
    <n v="13200"/>
    <n v="8.4000000000000005E-2"/>
    <x v="0"/>
    <n v="18"/>
    <n v="20152"/>
    <n v="60456"/>
    <n v="39600"/>
    <n v="20856"/>
    <n v="34.5"/>
    <n v="0.06"/>
    <n v="3627.36"/>
  </r>
  <r>
    <s v="TXN-0347"/>
    <x v="2"/>
    <x v="1"/>
    <x v="5"/>
    <s v="Público"/>
    <s v="Silla de Ruedas Elec."/>
    <s v="Rehabilitación"/>
    <s v="Rep_04"/>
    <n v="8"/>
    <n v="35000"/>
    <n v="21000"/>
    <n v="0.13"/>
    <x v="0"/>
    <n v="25"/>
    <n v="30450"/>
    <n v="243600"/>
    <n v="168000"/>
    <n v="75600"/>
    <n v="31"/>
    <n v="2.5000000000000001E-2"/>
    <n v="6090"/>
  </r>
  <r>
    <s v="TXN-0348"/>
    <x v="2"/>
    <x v="4"/>
    <x v="5"/>
    <s v="Público"/>
    <s v="Cama Hospitalaria"/>
    <s v="Mobiliario Clínico"/>
    <s v="Rep_02"/>
    <n v="10"/>
    <n v="22000"/>
    <n v="13200"/>
    <n v="8.4000000000000005E-2"/>
    <x v="1"/>
    <n v="14"/>
    <n v="20152"/>
    <n v="201520"/>
    <n v="132000"/>
    <n v="69520"/>
    <n v="34.5"/>
    <n v="2.5000000000000001E-2"/>
    <n v="5038"/>
  </r>
  <r>
    <s v="TXN-0349"/>
    <x v="1"/>
    <x v="1"/>
    <x v="4"/>
    <s v="Público"/>
    <s v="Ventilador Mecánico"/>
    <s v="Equipo UCI"/>
    <s v="Rep_09"/>
    <n v="2"/>
    <n v="180000"/>
    <n v="108000"/>
    <n v="0.17699999999999999"/>
    <x v="1"/>
    <n v="15"/>
    <n v="148140"/>
    <n v="296280"/>
    <n v="216000"/>
    <n v="80280"/>
    <n v="27.1"/>
    <n v="2.5000000000000001E-2"/>
    <n v="7407"/>
  </r>
  <r>
    <s v="TXN-0350"/>
    <x v="2"/>
    <x v="1"/>
    <x v="5"/>
    <s v="Público"/>
    <s v="Cama Hospitalaria"/>
    <s v="Mobiliario Clínico"/>
    <s v="Rep_05"/>
    <n v="8"/>
    <n v="22000"/>
    <n v="13200"/>
    <n v="4.7E-2"/>
    <x v="1"/>
    <n v="30"/>
    <n v="20966"/>
    <n v="167728"/>
    <n v="105600"/>
    <n v="62128"/>
    <n v="37"/>
    <n v="2.5000000000000001E-2"/>
    <n v="4193.2"/>
  </r>
  <r>
    <s v="TXN-0351"/>
    <x v="0"/>
    <x v="4"/>
    <x v="6"/>
    <s v="Privado"/>
    <s v="Bomba de Infusión"/>
    <s v="Medicación IV"/>
    <s v="Rep_03"/>
    <n v="11"/>
    <n v="28000"/>
    <n v="16800"/>
    <n v="8.5999999999999993E-2"/>
    <x v="0"/>
    <n v="28"/>
    <n v="25592"/>
    <n v="281512"/>
    <n v="184800"/>
    <n v="96712"/>
    <n v="34.4"/>
    <n v="0.06"/>
    <n v="16890.72"/>
  </r>
  <r>
    <s v="TXN-0352"/>
    <x v="2"/>
    <x v="3"/>
    <x v="5"/>
    <s v="Público"/>
    <s v="Bomba de Infusión"/>
    <s v="Medicación IV"/>
    <s v="Rep_07"/>
    <n v="5"/>
    <n v="28000"/>
    <n v="16800"/>
    <n v="3.3000000000000002E-2"/>
    <x v="0"/>
    <n v="11"/>
    <n v="27076"/>
    <n v="135380"/>
    <n v="84000"/>
    <n v="51380"/>
    <n v="38"/>
    <n v="2.5000000000000001E-2"/>
    <n v="3384.5"/>
  </r>
  <r>
    <s v="TXN-0353"/>
    <x v="3"/>
    <x v="2"/>
    <x v="4"/>
    <s v="Público"/>
    <s v="Desfibrilador"/>
    <s v="Emergencias"/>
    <s v="Rep_10"/>
    <n v="10"/>
    <n v="95000"/>
    <n v="57000"/>
    <n v="0.114"/>
    <x v="1"/>
    <n v="19"/>
    <n v="84170"/>
    <n v="841700"/>
    <n v="570000"/>
    <n v="271700"/>
    <n v="32.299999999999997"/>
    <n v="2.5000000000000001E-2"/>
    <n v="21042.5"/>
  </r>
  <r>
    <s v="TXN-0354"/>
    <x v="0"/>
    <x v="1"/>
    <x v="6"/>
    <s v="Privado"/>
    <s v="Desfibrilador"/>
    <s v="Emergencias"/>
    <s v="Rep_08"/>
    <n v="10"/>
    <n v="95000"/>
    <n v="57000"/>
    <n v="0.115"/>
    <x v="0"/>
    <n v="13"/>
    <n v="84075"/>
    <n v="840750"/>
    <n v="570000"/>
    <n v="270750"/>
    <n v="32.200000000000003"/>
    <n v="0.06"/>
    <n v="50445"/>
  </r>
  <r>
    <s v="TXN-0355"/>
    <x v="0"/>
    <x v="2"/>
    <x v="4"/>
    <s v="Público"/>
    <s v="Ventilador Mecánico"/>
    <s v="Equipo UCI"/>
    <s v="Rep_09"/>
    <n v="5"/>
    <n v="180000"/>
    <n v="108000"/>
    <n v="0.17199999999999999"/>
    <x v="0"/>
    <n v="18"/>
    <n v="149040"/>
    <n v="745200"/>
    <n v="540000"/>
    <n v="205200"/>
    <n v="27.5"/>
    <n v="2.5000000000000001E-2"/>
    <n v="18630"/>
  </r>
  <r>
    <s v="TXN-0356"/>
    <x v="1"/>
    <x v="0"/>
    <x v="5"/>
    <s v="Público"/>
    <s v="Monitor de Signos"/>
    <s v="Equipo UCI"/>
    <s v="Rep_08"/>
    <n v="4"/>
    <n v="45000"/>
    <n v="27000"/>
    <n v="1.9E-2"/>
    <x v="1"/>
    <n v="30"/>
    <n v="44145"/>
    <n v="176580"/>
    <n v="108000"/>
    <n v="68580"/>
    <n v="38.799999999999997"/>
    <n v="2.5000000000000001E-2"/>
    <n v="4414.5"/>
  </r>
  <r>
    <s v="TXN-0357"/>
    <x v="1"/>
    <x v="3"/>
    <x v="0"/>
    <s v="Privado"/>
    <s v="Electrocardiógrafo"/>
    <s v="Diagnóstico"/>
    <s v="Rep_04"/>
    <n v="8"/>
    <n v="32000"/>
    <n v="19200"/>
    <n v="1.9E-2"/>
    <x v="0"/>
    <n v="38"/>
    <n v="31392"/>
    <n v="251136"/>
    <n v="153600"/>
    <n v="97536"/>
    <n v="38.799999999999997"/>
    <n v="0.06"/>
    <n v="15068.16"/>
  </r>
  <r>
    <s v="TXN-0358"/>
    <x v="1"/>
    <x v="3"/>
    <x v="2"/>
    <s v="Público"/>
    <s v="Bomba de Infusión"/>
    <s v="Medicación IV"/>
    <s v="Rep_09"/>
    <n v="9"/>
    <n v="28000"/>
    <n v="16800"/>
    <n v="3.7999999999999999E-2"/>
    <x v="0"/>
    <n v="14"/>
    <n v="26936"/>
    <n v="242424"/>
    <n v="151200"/>
    <n v="91224"/>
    <n v="37.6"/>
    <n v="2.5000000000000001E-2"/>
    <n v="6060.6"/>
  </r>
  <r>
    <s v="TXN-0359"/>
    <x v="2"/>
    <x v="2"/>
    <x v="2"/>
    <s v="Público"/>
    <s v="Ventilador Mecánico"/>
    <s v="Equipo UCI"/>
    <s v="Rep_09"/>
    <n v="2"/>
    <n v="180000"/>
    <n v="108000"/>
    <n v="0.186"/>
    <x v="1"/>
    <n v="17"/>
    <n v="146520"/>
    <n v="293040"/>
    <n v="216000"/>
    <n v="77040"/>
    <n v="26.3"/>
    <n v="2.5000000000000001E-2"/>
    <n v="7326"/>
  </r>
  <r>
    <s v="TXN-0360"/>
    <x v="0"/>
    <x v="4"/>
    <x v="4"/>
    <s v="Público"/>
    <s v="Monitor de Signos"/>
    <s v="Equipo UCI"/>
    <s v="Rep_06"/>
    <n v="4"/>
    <n v="45000"/>
    <n v="27000"/>
    <n v="4.3999999999999997E-2"/>
    <x v="0"/>
    <n v="40"/>
    <n v="43020"/>
    <n v="172080"/>
    <n v="108000"/>
    <n v="64080"/>
    <n v="37.200000000000003"/>
    <n v="2.5000000000000001E-2"/>
    <n v="4302"/>
  </r>
  <r>
    <s v="TXN-0361"/>
    <x v="0"/>
    <x v="1"/>
    <x v="1"/>
    <s v="Privado"/>
    <s v="Desfibrilador"/>
    <s v="Emergencias"/>
    <s v="Rep_02"/>
    <n v="8"/>
    <n v="95000"/>
    <n v="57000"/>
    <n v="4.5999999999999999E-2"/>
    <x v="0"/>
    <n v="3"/>
    <n v="90630"/>
    <n v="725040"/>
    <n v="456000"/>
    <n v="269040"/>
    <n v="37.1"/>
    <n v="0.06"/>
    <n v="43502.400000000001"/>
  </r>
  <r>
    <s v="TXN-0362"/>
    <x v="2"/>
    <x v="1"/>
    <x v="6"/>
    <s v="Privado"/>
    <s v="Ventilador Mecánico"/>
    <s v="Equipo UCI"/>
    <s v="Rep_04"/>
    <n v="1"/>
    <n v="180000"/>
    <n v="108000"/>
    <n v="4.2999999999999997E-2"/>
    <x v="0"/>
    <n v="34"/>
    <n v="172260"/>
    <n v="172260"/>
    <n v="108000"/>
    <n v="64260"/>
    <n v="37.299999999999997"/>
    <n v="0.06"/>
    <n v="10335.6"/>
  </r>
  <r>
    <s v="TXN-0363"/>
    <x v="2"/>
    <x v="3"/>
    <x v="3"/>
    <s v="Privado"/>
    <s v="Electrocardiógrafo"/>
    <s v="Diagnóstico"/>
    <s v="Rep_05"/>
    <n v="5"/>
    <n v="32000"/>
    <n v="19200"/>
    <n v="5.3999999999999999E-2"/>
    <x v="1"/>
    <n v="28"/>
    <n v="30272"/>
    <n v="151360"/>
    <n v="96000"/>
    <n v="55360"/>
    <n v="36.6"/>
    <n v="0.06"/>
    <n v="9081.6"/>
  </r>
  <r>
    <s v="TXN-0364"/>
    <x v="2"/>
    <x v="0"/>
    <x v="4"/>
    <s v="Público"/>
    <s v="Monitor de Signos"/>
    <s v="Equipo UCI"/>
    <s v="Rep_07"/>
    <n v="1"/>
    <n v="45000"/>
    <n v="27000"/>
    <n v="8.6999999999999994E-2"/>
    <x v="0"/>
    <n v="21"/>
    <n v="41085"/>
    <n v="41085"/>
    <n v="27000"/>
    <n v="14085"/>
    <n v="34.299999999999997"/>
    <n v="2.5000000000000001E-2"/>
    <n v="1027.1199999999999"/>
  </r>
  <r>
    <s v="TXN-0365"/>
    <x v="1"/>
    <x v="2"/>
    <x v="2"/>
    <s v="Público"/>
    <s v="Cama Hospitalaria"/>
    <s v="Mobiliario Clínico"/>
    <s v="Rep_06"/>
    <n v="5"/>
    <n v="22000"/>
    <n v="13200"/>
    <n v="0.2"/>
    <x v="0"/>
    <n v="15"/>
    <n v="17600"/>
    <n v="88000"/>
    <n v="66000"/>
    <n v="22000"/>
    <n v="25"/>
    <n v="2.5000000000000001E-2"/>
    <n v="2200"/>
  </r>
  <r>
    <s v="TXN-0366"/>
    <x v="2"/>
    <x v="1"/>
    <x v="0"/>
    <s v="Privado"/>
    <s v="Oxímetro Portátil"/>
    <s v="Diagnóstico"/>
    <s v="Rep_03"/>
    <n v="10"/>
    <n v="8500"/>
    <n v="5100"/>
    <n v="6.5000000000000002E-2"/>
    <x v="0"/>
    <n v="39"/>
    <n v="7947.5"/>
    <n v="79475"/>
    <n v="51000"/>
    <n v="28475"/>
    <n v="35.799999999999997"/>
    <n v="0.06"/>
    <n v="4768.5"/>
  </r>
  <r>
    <s v="TXN-0367"/>
    <x v="0"/>
    <x v="4"/>
    <x v="5"/>
    <s v="Público"/>
    <s v="Oxímetro Portátil"/>
    <s v="Diagnóstico"/>
    <s v="Rep_08"/>
    <n v="2"/>
    <n v="8500"/>
    <n v="5100"/>
    <n v="0.11700000000000001"/>
    <x v="0"/>
    <n v="29"/>
    <n v="7505.5"/>
    <n v="15011"/>
    <n v="10200"/>
    <n v="4811"/>
    <n v="32"/>
    <n v="2.5000000000000001E-2"/>
    <n v="375.28"/>
  </r>
  <r>
    <s v="TXN-0368"/>
    <x v="3"/>
    <x v="3"/>
    <x v="3"/>
    <s v="Privado"/>
    <s v="Oxímetro Portátil"/>
    <s v="Diagnóstico"/>
    <s v="Rep_08"/>
    <n v="11"/>
    <n v="8500"/>
    <n v="5100"/>
    <n v="5.0000000000000001E-3"/>
    <x v="0"/>
    <n v="15"/>
    <n v="8457.5"/>
    <n v="93032.5"/>
    <n v="56100"/>
    <n v="36932.5"/>
    <n v="39.700000000000003"/>
    <n v="0.06"/>
    <n v="5581.95"/>
  </r>
  <r>
    <s v="TXN-0369"/>
    <x v="1"/>
    <x v="3"/>
    <x v="3"/>
    <s v="Privado"/>
    <s v="Cama Hospitalaria"/>
    <s v="Mobiliario Clínico"/>
    <s v="Rep_06"/>
    <n v="3"/>
    <n v="22000"/>
    <n v="13200"/>
    <n v="6.3E-2"/>
    <x v="0"/>
    <n v="24"/>
    <n v="20614"/>
    <n v="61842"/>
    <n v="39600"/>
    <n v="22242"/>
    <n v="36"/>
    <n v="0.06"/>
    <n v="3710.52"/>
  </r>
  <r>
    <s v="TXN-0370"/>
    <x v="2"/>
    <x v="3"/>
    <x v="5"/>
    <s v="Público"/>
    <s v="Monitor de Signos"/>
    <s v="Equipo UCI"/>
    <s v="Rep_08"/>
    <n v="8"/>
    <n v="45000"/>
    <n v="27000"/>
    <n v="0.11700000000000001"/>
    <x v="0"/>
    <n v="8"/>
    <n v="39735"/>
    <n v="317880"/>
    <n v="216000"/>
    <n v="101880"/>
    <n v="32"/>
    <n v="2.5000000000000001E-2"/>
    <n v="7947"/>
  </r>
  <r>
    <s v="TXN-0371"/>
    <x v="0"/>
    <x v="1"/>
    <x v="5"/>
    <s v="Público"/>
    <s v="Oxímetro Portátil"/>
    <s v="Diagnóstico"/>
    <s v="Rep_01"/>
    <n v="7"/>
    <n v="8500"/>
    <n v="5100"/>
    <n v="8.7999999999999995E-2"/>
    <x v="0"/>
    <n v="34"/>
    <n v="7752"/>
    <n v="54264"/>
    <n v="35700"/>
    <n v="18564"/>
    <n v="34.200000000000003"/>
    <n v="2.5000000000000001E-2"/>
    <n v="1356.6"/>
  </r>
  <r>
    <s v="TXN-0372"/>
    <x v="1"/>
    <x v="4"/>
    <x v="1"/>
    <s v="Privado"/>
    <s v="Monitor de Signos"/>
    <s v="Equipo UCI"/>
    <s v="Rep_09"/>
    <n v="4"/>
    <n v="45000"/>
    <n v="27000"/>
    <n v="2.3E-2"/>
    <x v="0"/>
    <n v="10"/>
    <n v="43965"/>
    <n v="175860"/>
    <n v="108000"/>
    <n v="67860"/>
    <n v="38.6"/>
    <n v="0.06"/>
    <n v="10551.6"/>
  </r>
  <r>
    <s v="TXN-0373"/>
    <x v="2"/>
    <x v="1"/>
    <x v="5"/>
    <s v="Público"/>
    <s v="Cama Hospitalaria"/>
    <s v="Mobiliario Clínico"/>
    <s v="Rep_07"/>
    <n v="5"/>
    <n v="22000"/>
    <n v="13200"/>
    <n v="0.17100000000000001"/>
    <x v="0"/>
    <n v="36"/>
    <n v="18238"/>
    <n v="91190"/>
    <n v="66000"/>
    <n v="25190"/>
    <n v="27.6"/>
    <n v="2.5000000000000001E-2"/>
    <n v="2279.75"/>
  </r>
  <r>
    <s v="TXN-0374"/>
    <x v="0"/>
    <x v="1"/>
    <x v="2"/>
    <s v="Público"/>
    <s v="Silla de Ruedas Elec."/>
    <s v="Rehabilitación"/>
    <s v="Rep_01"/>
    <n v="9"/>
    <n v="35000"/>
    <n v="21000"/>
    <n v="0.2"/>
    <x v="1"/>
    <n v="12"/>
    <n v="28000"/>
    <n v="252000"/>
    <n v="189000"/>
    <n v="63000"/>
    <n v="25"/>
    <n v="2.5000000000000001E-2"/>
    <n v="6300"/>
  </r>
  <r>
    <s v="TXN-0375"/>
    <x v="1"/>
    <x v="3"/>
    <x v="2"/>
    <s v="Público"/>
    <s v="Electrocardiógrafo"/>
    <s v="Diagnóstico"/>
    <s v="Rep_04"/>
    <n v="9"/>
    <n v="32000"/>
    <n v="19200"/>
    <n v="7.6999999999999999E-2"/>
    <x v="0"/>
    <n v="44"/>
    <n v="29536"/>
    <n v="265824"/>
    <n v="172800"/>
    <n v="93024"/>
    <n v="35"/>
    <n v="2.5000000000000001E-2"/>
    <n v="6645.6"/>
  </r>
  <r>
    <s v="TXN-0376"/>
    <x v="3"/>
    <x v="1"/>
    <x v="3"/>
    <s v="Privado"/>
    <s v="Desfibrilador"/>
    <s v="Emergencias"/>
    <s v="Rep_09"/>
    <n v="2"/>
    <n v="95000"/>
    <n v="57000"/>
    <n v="1.4999999999999999E-2"/>
    <x v="0"/>
    <n v="7"/>
    <n v="93575"/>
    <n v="187150"/>
    <n v="114000"/>
    <n v="73150"/>
    <n v="39.1"/>
    <n v="0.06"/>
    <n v="11229"/>
  </r>
  <r>
    <s v="TXN-0377"/>
    <x v="3"/>
    <x v="2"/>
    <x v="1"/>
    <s v="Privado"/>
    <s v="Cama Hospitalaria"/>
    <s v="Mobiliario Clínico"/>
    <s v="Rep_09"/>
    <n v="1"/>
    <n v="22000"/>
    <n v="13200"/>
    <n v="4.2999999999999997E-2"/>
    <x v="0"/>
    <n v="32"/>
    <n v="21054"/>
    <n v="21054"/>
    <n v="13200"/>
    <n v="7854"/>
    <n v="37.299999999999997"/>
    <n v="0.06"/>
    <n v="1263.24"/>
  </r>
  <r>
    <s v="TXN-0378"/>
    <x v="3"/>
    <x v="1"/>
    <x v="5"/>
    <s v="Público"/>
    <s v="Silla de Ruedas Elec."/>
    <s v="Rehabilitación"/>
    <s v="Rep_06"/>
    <n v="4"/>
    <n v="35000"/>
    <n v="21000"/>
    <n v="0"/>
    <x v="0"/>
    <n v="41"/>
    <n v="35000"/>
    <n v="140000"/>
    <n v="84000"/>
    <n v="56000"/>
    <n v="40"/>
    <n v="0.04"/>
    <n v="5600"/>
  </r>
  <r>
    <s v="TXN-0379"/>
    <x v="3"/>
    <x v="1"/>
    <x v="3"/>
    <s v="Privado"/>
    <s v="Ventilador Mecánico"/>
    <s v="Equipo UCI"/>
    <s v="Rep_10"/>
    <n v="4"/>
    <n v="180000"/>
    <n v="108000"/>
    <n v="7.0000000000000001E-3"/>
    <x v="0"/>
    <n v="14"/>
    <n v="178740"/>
    <n v="714960"/>
    <n v="432000"/>
    <n v="282960"/>
    <n v="39.6"/>
    <n v="0.06"/>
    <n v="42897.599999999999"/>
  </r>
  <r>
    <s v="TXN-0380"/>
    <x v="1"/>
    <x v="2"/>
    <x v="3"/>
    <s v="Privado"/>
    <s v="Ventilador Mecánico"/>
    <s v="Equipo UCI"/>
    <s v="Rep_10"/>
    <n v="9"/>
    <n v="180000"/>
    <n v="108000"/>
    <n v="2E-3"/>
    <x v="0"/>
    <n v="5"/>
    <n v="179640"/>
    <n v="1616760"/>
    <n v="972000"/>
    <n v="644760"/>
    <n v="39.9"/>
    <n v="0.06"/>
    <n v="97005.6"/>
  </r>
  <r>
    <s v="TXN-0381"/>
    <x v="0"/>
    <x v="1"/>
    <x v="3"/>
    <s v="Privado"/>
    <s v="Bomba de Infusión"/>
    <s v="Medicación IV"/>
    <s v="Rep_03"/>
    <n v="11"/>
    <n v="28000"/>
    <n v="16800"/>
    <n v="5.6000000000000001E-2"/>
    <x v="0"/>
    <n v="25"/>
    <n v="26432"/>
    <n v="290752"/>
    <n v="184800"/>
    <n v="105952"/>
    <n v="36.4"/>
    <n v="0.06"/>
    <n v="17445.12"/>
  </r>
  <r>
    <s v="TXN-0382"/>
    <x v="0"/>
    <x v="1"/>
    <x v="5"/>
    <s v="Público"/>
    <s v="Cama Hospitalaria"/>
    <s v="Mobiliario Clínico"/>
    <s v="Rep_10"/>
    <n v="4"/>
    <n v="22000"/>
    <n v="13200"/>
    <n v="0.15"/>
    <x v="0"/>
    <n v="30"/>
    <n v="18700"/>
    <n v="74800"/>
    <n v="52800"/>
    <n v="22000"/>
    <n v="29.4"/>
    <n v="2.5000000000000001E-2"/>
    <n v="1870"/>
  </r>
  <r>
    <s v="TXN-0383"/>
    <x v="3"/>
    <x v="1"/>
    <x v="5"/>
    <s v="Público"/>
    <s v="Bomba de Infusión"/>
    <s v="Medicación IV"/>
    <s v="Rep_03"/>
    <n v="10"/>
    <n v="28000"/>
    <n v="16800"/>
    <n v="0.16"/>
    <x v="0"/>
    <n v="7"/>
    <n v="23520"/>
    <n v="235200"/>
    <n v="168000"/>
    <n v="67200"/>
    <n v="28.6"/>
    <n v="2.5000000000000001E-2"/>
    <n v="5880"/>
  </r>
  <r>
    <s v="TXN-0384"/>
    <x v="3"/>
    <x v="3"/>
    <x v="4"/>
    <s v="Público"/>
    <s v="Cama Hospitalaria"/>
    <s v="Mobiliario Clínico"/>
    <s v="Rep_08"/>
    <n v="12"/>
    <n v="22000"/>
    <n v="13200"/>
    <n v="4.7E-2"/>
    <x v="0"/>
    <n v="44"/>
    <n v="20966"/>
    <n v="251592"/>
    <n v="158400"/>
    <n v="93192"/>
    <n v="37"/>
    <n v="2.5000000000000001E-2"/>
    <n v="6289.8"/>
  </r>
  <r>
    <s v="TXN-0385"/>
    <x v="3"/>
    <x v="2"/>
    <x v="2"/>
    <s v="Público"/>
    <s v="Ventilador Mecánico"/>
    <s v="Equipo UCI"/>
    <s v="Rep_05"/>
    <n v="7"/>
    <n v="180000"/>
    <n v="108000"/>
    <n v="0.17599999999999999"/>
    <x v="1"/>
    <n v="36"/>
    <n v="148320"/>
    <n v="1038240"/>
    <n v="756000"/>
    <n v="282240"/>
    <n v="27.2"/>
    <n v="2.5000000000000001E-2"/>
    <n v="25956"/>
  </r>
  <r>
    <s v="TXN-0386"/>
    <x v="3"/>
    <x v="1"/>
    <x v="5"/>
    <s v="Público"/>
    <s v="Cama Hospitalaria"/>
    <s v="Mobiliario Clínico"/>
    <s v="Rep_04"/>
    <n v="12"/>
    <n v="22000"/>
    <n v="13200"/>
    <n v="7.1999999999999995E-2"/>
    <x v="0"/>
    <n v="3"/>
    <n v="20416"/>
    <n v="244992"/>
    <n v="158400"/>
    <n v="86592"/>
    <n v="35.299999999999997"/>
    <n v="2.5000000000000001E-2"/>
    <n v="6124.8"/>
  </r>
  <r>
    <s v="TXN-0387"/>
    <x v="2"/>
    <x v="0"/>
    <x v="1"/>
    <s v="Privado"/>
    <s v="Electrocardiógrafo"/>
    <s v="Diagnóstico"/>
    <s v="Rep_10"/>
    <n v="10"/>
    <n v="32000"/>
    <n v="19200"/>
    <n v="4.2000000000000003E-2"/>
    <x v="0"/>
    <n v="29"/>
    <n v="30656"/>
    <n v="306560"/>
    <n v="192000"/>
    <n v="114560"/>
    <n v="37.4"/>
    <n v="0.06"/>
    <n v="18393.599999999999"/>
  </r>
  <r>
    <s v="TXN-0388"/>
    <x v="0"/>
    <x v="2"/>
    <x v="5"/>
    <s v="Público"/>
    <s v="Desfibrilador"/>
    <s v="Emergencias"/>
    <s v="Rep_06"/>
    <n v="6"/>
    <n v="95000"/>
    <n v="57000"/>
    <n v="4.3999999999999997E-2"/>
    <x v="0"/>
    <n v="24"/>
    <n v="90820"/>
    <n v="544920"/>
    <n v="342000"/>
    <n v="202920"/>
    <n v="37.200000000000003"/>
    <n v="2.5000000000000001E-2"/>
    <n v="13623"/>
  </r>
  <r>
    <s v="TXN-0389"/>
    <x v="3"/>
    <x v="0"/>
    <x v="3"/>
    <s v="Privado"/>
    <s v="Oxímetro Portátil"/>
    <s v="Diagnóstico"/>
    <s v="Rep_09"/>
    <n v="14"/>
    <n v="8500"/>
    <n v="5100"/>
    <n v="7.0999999999999994E-2"/>
    <x v="0"/>
    <n v="29"/>
    <n v="7896.5"/>
    <n v="110551"/>
    <n v="71400"/>
    <n v="39151"/>
    <n v="35.4"/>
    <n v="0.06"/>
    <n v="6633.06"/>
  </r>
  <r>
    <s v="TXN-0390"/>
    <x v="1"/>
    <x v="3"/>
    <x v="4"/>
    <s v="Público"/>
    <s v="Oxímetro Portátil"/>
    <s v="Diagnóstico"/>
    <s v="Rep_06"/>
    <n v="5"/>
    <n v="8500"/>
    <n v="5100"/>
    <n v="0.1"/>
    <x v="0"/>
    <n v="33"/>
    <n v="7650"/>
    <n v="38250"/>
    <n v="25500"/>
    <n v="12750"/>
    <n v="33.299999999999997"/>
    <n v="2.5000000000000001E-2"/>
    <n v="956.25"/>
  </r>
  <r>
    <s v="TXN-0391"/>
    <x v="1"/>
    <x v="1"/>
    <x v="5"/>
    <s v="Público"/>
    <s v="Oxímetro Portátil"/>
    <s v="Diagnóstico"/>
    <s v="Rep_03"/>
    <n v="14"/>
    <n v="8500"/>
    <n v="5100"/>
    <n v="9.1999999999999998E-2"/>
    <x v="0"/>
    <n v="9"/>
    <n v="7718"/>
    <n v="108052"/>
    <n v="71400"/>
    <n v="36652"/>
    <n v="33.9"/>
    <n v="2.5000000000000001E-2"/>
    <n v="2701.3"/>
  </r>
  <r>
    <s v="TXN-0392"/>
    <x v="3"/>
    <x v="1"/>
    <x v="4"/>
    <s v="Público"/>
    <s v="Electrocardiógrafo"/>
    <s v="Diagnóstico"/>
    <s v="Rep_10"/>
    <n v="10"/>
    <n v="32000"/>
    <n v="19200"/>
    <n v="3.9E-2"/>
    <x v="1"/>
    <n v="25"/>
    <n v="30752"/>
    <n v="307520"/>
    <n v="192000"/>
    <n v="115520"/>
    <n v="37.6"/>
    <n v="2.5000000000000001E-2"/>
    <n v="7688"/>
  </r>
  <r>
    <s v="TXN-0393"/>
    <x v="1"/>
    <x v="1"/>
    <x v="3"/>
    <s v="Privado"/>
    <s v="Cama Hospitalaria"/>
    <s v="Mobiliario Clínico"/>
    <s v="Rep_02"/>
    <n v="9"/>
    <n v="22000"/>
    <n v="13200"/>
    <n v="7.8E-2"/>
    <x v="0"/>
    <n v="31"/>
    <n v="20284"/>
    <n v="182556"/>
    <n v="118800"/>
    <n v="63756"/>
    <n v="34.9"/>
    <n v="0.06"/>
    <n v="10953.36"/>
  </r>
  <r>
    <s v="TXN-0394"/>
    <x v="1"/>
    <x v="1"/>
    <x v="4"/>
    <s v="Público"/>
    <s v="Bomba de Infusión"/>
    <s v="Medicación IV"/>
    <s v="Rep_02"/>
    <n v="14"/>
    <n v="28000"/>
    <n v="16800"/>
    <n v="0.14799999999999999"/>
    <x v="0"/>
    <n v="12"/>
    <n v="23856"/>
    <n v="333984"/>
    <n v="235200"/>
    <n v="98784"/>
    <n v="29.6"/>
    <n v="2.5000000000000001E-2"/>
    <n v="8349.6"/>
  </r>
  <r>
    <s v="TXN-0395"/>
    <x v="1"/>
    <x v="1"/>
    <x v="2"/>
    <s v="Público"/>
    <s v="Silla de Ruedas Elec."/>
    <s v="Rehabilitación"/>
    <s v="Rep_07"/>
    <n v="12"/>
    <n v="35000"/>
    <n v="21000"/>
    <n v="6.9000000000000006E-2"/>
    <x v="1"/>
    <n v="15"/>
    <n v="32585"/>
    <n v="391020"/>
    <n v="252000"/>
    <n v="139020"/>
    <n v="35.6"/>
    <n v="2.5000000000000001E-2"/>
    <n v="9775.5"/>
  </r>
  <r>
    <s v="TXN-0396"/>
    <x v="0"/>
    <x v="0"/>
    <x v="5"/>
    <s v="Público"/>
    <s v="Desfibrilador"/>
    <s v="Emergencias"/>
    <s v="Rep_09"/>
    <n v="2"/>
    <n v="95000"/>
    <n v="57000"/>
    <n v="0.121"/>
    <x v="0"/>
    <n v="10"/>
    <n v="83505"/>
    <n v="167010"/>
    <n v="114000"/>
    <n v="53010"/>
    <n v="31.7"/>
    <n v="2.5000000000000001E-2"/>
    <n v="4175.25"/>
  </r>
  <r>
    <s v="TXN-0397"/>
    <x v="0"/>
    <x v="1"/>
    <x v="2"/>
    <s v="Público"/>
    <s v="Bomba de Infusión"/>
    <s v="Medicación IV"/>
    <s v="Rep_05"/>
    <n v="11"/>
    <n v="28000"/>
    <n v="16800"/>
    <n v="0.182"/>
    <x v="1"/>
    <n v="19"/>
    <n v="22904"/>
    <n v="251944"/>
    <n v="184800"/>
    <n v="67144"/>
    <n v="26.7"/>
    <n v="2.5000000000000001E-2"/>
    <n v="6298.6"/>
  </r>
  <r>
    <s v="TXN-0398"/>
    <x v="3"/>
    <x v="0"/>
    <x v="5"/>
    <s v="Público"/>
    <s v="Silla de Ruedas Elec."/>
    <s v="Rehabilitación"/>
    <s v="Rep_10"/>
    <n v="11"/>
    <n v="35000"/>
    <n v="21000"/>
    <n v="1.9E-2"/>
    <x v="0"/>
    <n v="12"/>
    <n v="34335"/>
    <n v="377685"/>
    <n v="231000"/>
    <n v="146685"/>
    <n v="38.799999999999997"/>
    <n v="2.5000000000000001E-2"/>
    <n v="9442.1200000000008"/>
  </r>
  <r>
    <s v="TXN-0399"/>
    <x v="0"/>
    <x v="4"/>
    <x v="5"/>
    <s v="Público"/>
    <s v="Desfibrilador"/>
    <s v="Emergencias"/>
    <s v="Rep_06"/>
    <n v="4"/>
    <n v="95000"/>
    <n v="57000"/>
    <n v="4.3999999999999997E-2"/>
    <x v="0"/>
    <n v="28"/>
    <n v="90820"/>
    <n v="363280"/>
    <n v="228000"/>
    <n v="135280"/>
    <n v="37.200000000000003"/>
    <n v="2.5000000000000001E-2"/>
    <n v="9082"/>
  </r>
  <r>
    <s v="TXN-0400"/>
    <x v="1"/>
    <x v="1"/>
    <x v="4"/>
    <s v="Público"/>
    <s v="Cama Hospitalaria"/>
    <s v="Mobiliario Clínico"/>
    <s v="Rep_08"/>
    <n v="12"/>
    <n v="22000"/>
    <n v="13200"/>
    <n v="0.17599999999999999"/>
    <x v="0"/>
    <n v="14"/>
    <n v="18128"/>
    <n v="217536"/>
    <n v="158400"/>
    <n v="59136"/>
    <n v="27.2"/>
    <n v="2.5000000000000001E-2"/>
    <n v="5438.4"/>
  </r>
  <r>
    <s v="TXN-0401"/>
    <x v="3"/>
    <x v="1"/>
    <x v="2"/>
    <s v="Público"/>
    <s v="Bomba de Infusión"/>
    <s v="Medicación IV"/>
    <s v="Rep_01"/>
    <n v="4"/>
    <n v="28000"/>
    <n v="16800"/>
    <n v="0.17100000000000001"/>
    <x v="1"/>
    <n v="18"/>
    <n v="23212"/>
    <n v="92848"/>
    <n v="67200"/>
    <n v="25648"/>
    <n v="27.6"/>
    <n v="2.5000000000000001E-2"/>
    <n v="2321.1999999999998"/>
  </r>
  <r>
    <s v="TXN-0402"/>
    <x v="2"/>
    <x v="4"/>
    <x v="2"/>
    <s v="Público"/>
    <s v="Bomba de Infusión"/>
    <s v="Medicación IV"/>
    <s v="Rep_07"/>
    <n v="6"/>
    <n v="28000"/>
    <n v="16800"/>
    <n v="8.1000000000000003E-2"/>
    <x v="1"/>
    <n v="29"/>
    <n v="25732"/>
    <n v="154392"/>
    <n v="100800"/>
    <n v="53592"/>
    <n v="34.700000000000003"/>
    <n v="2.5000000000000001E-2"/>
    <n v="3859.8"/>
  </r>
  <r>
    <s v="TXN-0403"/>
    <x v="3"/>
    <x v="3"/>
    <x v="5"/>
    <s v="Público"/>
    <s v="Electrocardiógrafo"/>
    <s v="Diagnóstico"/>
    <s v="Rep_08"/>
    <n v="4"/>
    <n v="32000"/>
    <n v="19200"/>
    <n v="0.17100000000000001"/>
    <x v="0"/>
    <n v="39"/>
    <n v="26528"/>
    <n v="106112"/>
    <n v="76800"/>
    <n v="29312"/>
    <n v="27.6"/>
    <n v="2.5000000000000001E-2"/>
    <n v="2652.8"/>
  </r>
  <r>
    <s v="TXN-0404"/>
    <x v="1"/>
    <x v="3"/>
    <x v="1"/>
    <s v="Privado"/>
    <s v="Oxímetro Portátil"/>
    <s v="Diagnóstico"/>
    <s v="Rep_02"/>
    <n v="6"/>
    <n v="8500"/>
    <n v="5100"/>
    <n v="7.9000000000000001E-2"/>
    <x v="0"/>
    <n v="21"/>
    <n v="7828.5"/>
    <n v="46971"/>
    <n v="30600"/>
    <n v="16371"/>
    <n v="34.9"/>
    <n v="0.06"/>
    <n v="2818.26"/>
  </r>
  <r>
    <s v="TXN-0405"/>
    <x v="1"/>
    <x v="3"/>
    <x v="1"/>
    <s v="Privado"/>
    <s v="Electrocardiógrafo"/>
    <s v="Diagnóstico"/>
    <s v="Rep_04"/>
    <n v="3"/>
    <n v="32000"/>
    <n v="19200"/>
    <n v="1.0999999999999999E-2"/>
    <x v="0"/>
    <n v="4"/>
    <n v="31648"/>
    <n v="94944"/>
    <n v="57600"/>
    <n v="37344"/>
    <n v="39.299999999999997"/>
    <n v="0.06"/>
    <n v="5696.64"/>
  </r>
  <r>
    <s v="TXN-0406"/>
    <x v="1"/>
    <x v="1"/>
    <x v="4"/>
    <s v="Público"/>
    <s v="Silla de Ruedas Elec."/>
    <s v="Rehabilitación"/>
    <s v="Rep_06"/>
    <n v="1"/>
    <n v="35000"/>
    <n v="21000"/>
    <n v="9.1999999999999998E-2"/>
    <x v="0"/>
    <n v="24"/>
    <n v="31780"/>
    <n v="31780"/>
    <n v="21000"/>
    <n v="10780"/>
    <n v="33.9"/>
    <n v="2.5000000000000001E-2"/>
    <n v="794.5"/>
  </r>
  <r>
    <s v="TXN-0407"/>
    <x v="3"/>
    <x v="1"/>
    <x v="4"/>
    <s v="Público"/>
    <s v="Monitor de Signos"/>
    <s v="Equipo UCI"/>
    <s v="Rep_08"/>
    <n v="7"/>
    <n v="45000"/>
    <n v="27000"/>
    <n v="4.2000000000000003E-2"/>
    <x v="1"/>
    <n v="37"/>
    <n v="43110"/>
    <n v="301770"/>
    <n v="189000"/>
    <n v="112770"/>
    <n v="37.4"/>
    <n v="2.5000000000000001E-2"/>
    <n v="7544.25"/>
  </r>
  <r>
    <s v="TXN-0408"/>
    <x v="2"/>
    <x v="1"/>
    <x v="3"/>
    <s v="Privado"/>
    <s v="Silla de Ruedas Elec."/>
    <s v="Rehabilitación"/>
    <s v="Rep_01"/>
    <n v="7"/>
    <n v="35000"/>
    <n v="21000"/>
    <n v="3.1E-2"/>
    <x v="1"/>
    <n v="41"/>
    <n v="33915"/>
    <n v="237405"/>
    <n v="147000"/>
    <n v="90405"/>
    <n v="38.1"/>
    <n v="0.06"/>
    <n v="14244.3"/>
  </r>
  <r>
    <s v="TXN-0409"/>
    <x v="2"/>
    <x v="1"/>
    <x v="4"/>
    <s v="Público"/>
    <s v="Ventilador Mecánico"/>
    <s v="Equipo UCI"/>
    <s v="Rep_03"/>
    <n v="2"/>
    <n v="180000"/>
    <n v="108000"/>
    <n v="2.7E-2"/>
    <x v="0"/>
    <n v="16"/>
    <n v="175140"/>
    <n v="350280"/>
    <n v="216000"/>
    <n v="134280"/>
    <n v="38.299999999999997"/>
    <n v="2.5000000000000001E-2"/>
    <n v="8757"/>
  </r>
  <r>
    <s v="TXN-0410"/>
    <x v="1"/>
    <x v="0"/>
    <x v="1"/>
    <s v="Privado"/>
    <s v="Monitor de Signos"/>
    <s v="Equipo UCI"/>
    <s v="Rep_06"/>
    <n v="10"/>
    <n v="45000"/>
    <n v="27000"/>
    <n v="3.0000000000000001E-3"/>
    <x v="0"/>
    <n v="7"/>
    <n v="44865"/>
    <n v="448650"/>
    <n v="270000"/>
    <n v="178650"/>
    <n v="39.799999999999997"/>
    <n v="0.06"/>
    <n v="26919"/>
  </r>
  <r>
    <s v="TXN-0411"/>
    <x v="3"/>
    <x v="0"/>
    <x v="4"/>
    <s v="Público"/>
    <s v="Ventilador Mecánico"/>
    <s v="Equipo UCI"/>
    <s v="Rep_04"/>
    <n v="7"/>
    <n v="180000"/>
    <n v="108000"/>
    <n v="3.4000000000000002E-2"/>
    <x v="0"/>
    <n v="43"/>
    <n v="173880"/>
    <n v="1217160"/>
    <n v="756000"/>
    <n v="461160"/>
    <n v="37.9"/>
    <n v="2.5000000000000001E-2"/>
    <n v="30429"/>
  </r>
  <r>
    <s v="TXN-0412"/>
    <x v="0"/>
    <x v="0"/>
    <x v="5"/>
    <s v="Público"/>
    <s v="Cama Hospitalaria"/>
    <s v="Mobiliario Clínico"/>
    <s v="Rep_01"/>
    <n v="7"/>
    <n v="22000"/>
    <n v="13200"/>
    <n v="0.14799999999999999"/>
    <x v="0"/>
    <n v="15"/>
    <n v="18744"/>
    <n v="131208"/>
    <n v="92400"/>
    <n v="38808"/>
    <n v="29.6"/>
    <n v="2.5000000000000001E-2"/>
    <n v="3280.2"/>
  </r>
  <r>
    <s v="TXN-0413"/>
    <x v="0"/>
    <x v="3"/>
    <x v="5"/>
    <s v="Público"/>
    <s v="Electrocardiógrafo"/>
    <s v="Diagnóstico"/>
    <s v="Rep_09"/>
    <n v="10"/>
    <n v="32000"/>
    <n v="19200"/>
    <n v="4.5999999999999999E-2"/>
    <x v="0"/>
    <n v="29"/>
    <n v="30528"/>
    <n v="305280"/>
    <n v="192000"/>
    <n v="113280"/>
    <n v="37.1"/>
    <n v="2.5000000000000001E-2"/>
    <n v="7632"/>
  </r>
  <r>
    <s v="TXN-0414"/>
    <x v="2"/>
    <x v="2"/>
    <x v="5"/>
    <s v="Público"/>
    <s v="Ventilador Mecánico"/>
    <s v="Equipo UCI"/>
    <s v="Rep_03"/>
    <n v="12"/>
    <n v="180000"/>
    <n v="108000"/>
    <n v="5.2999999999999999E-2"/>
    <x v="1"/>
    <n v="38"/>
    <n v="170460"/>
    <n v="2045520"/>
    <n v="1296000"/>
    <n v="749520"/>
    <n v="36.6"/>
    <n v="2.5000000000000001E-2"/>
    <n v="51138"/>
  </r>
  <r>
    <s v="TXN-0415"/>
    <x v="1"/>
    <x v="0"/>
    <x v="4"/>
    <s v="Público"/>
    <s v="Electrocardiógrafo"/>
    <s v="Diagnóstico"/>
    <s v="Rep_01"/>
    <n v="7"/>
    <n v="32000"/>
    <n v="19200"/>
    <n v="0.16200000000000001"/>
    <x v="0"/>
    <n v="30"/>
    <n v="26816"/>
    <n v="187712"/>
    <n v="134400"/>
    <n v="53312"/>
    <n v="28.4"/>
    <n v="2.5000000000000001E-2"/>
    <n v="4692.8"/>
  </r>
  <r>
    <s v="TXN-0416"/>
    <x v="2"/>
    <x v="4"/>
    <x v="1"/>
    <s v="Privado"/>
    <s v="Oxímetro Portátil"/>
    <s v="Diagnóstico"/>
    <s v="Rep_08"/>
    <n v="5"/>
    <n v="8500"/>
    <n v="5100"/>
    <n v="9.5000000000000001E-2"/>
    <x v="1"/>
    <n v="21"/>
    <n v="7692.5"/>
    <n v="38462.5"/>
    <n v="25500"/>
    <n v="12962.5"/>
    <n v="33.700000000000003"/>
    <n v="0.06"/>
    <n v="2307.75"/>
  </r>
  <r>
    <s v="TXN-0417"/>
    <x v="2"/>
    <x v="1"/>
    <x v="2"/>
    <s v="Público"/>
    <s v="Electrocardiógrafo"/>
    <s v="Diagnóstico"/>
    <s v="Rep_09"/>
    <n v="14"/>
    <n v="32000"/>
    <n v="19200"/>
    <n v="4.3999999999999997E-2"/>
    <x v="0"/>
    <n v="15"/>
    <n v="30592"/>
    <n v="428288"/>
    <n v="268800"/>
    <n v="159488"/>
    <n v="37.200000000000003"/>
    <n v="2.5000000000000001E-2"/>
    <n v="10707.2"/>
  </r>
  <r>
    <s v="TXN-0418"/>
    <x v="1"/>
    <x v="3"/>
    <x v="3"/>
    <s v="Privado"/>
    <s v="Silla de Ruedas Elec."/>
    <s v="Rehabilitación"/>
    <s v="Rep_06"/>
    <n v="10"/>
    <n v="35000"/>
    <n v="21000"/>
    <n v="2.1000000000000001E-2"/>
    <x v="1"/>
    <n v="3"/>
    <n v="34265"/>
    <n v="342650"/>
    <n v="210000"/>
    <n v="132650"/>
    <n v="38.700000000000003"/>
    <n v="0.06"/>
    <n v="20559"/>
  </r>
  <r>
    <s v="TXN-0419"/>
    <x v="0"/>
    <x v="0"/>
    <x v="5"/>
    <s v="Público"/>
    <s v="Bomba de Infusión"/>
    <s v="Medicación IV"/>
    <s v="Rep_09"/>
    <n v="14"/>
    <n v="28000"/>
    <n v="16800"/>
    <n v="0.10299999999999999"/>
    <x v="1"/>
    <n v="22"/>
    <n v="25116"/>
    <n v="351624"/>
    <n v="235200"/>
    <n v="116424"/>
    <n v="33.1"/>
    <n v="2.5000000000000001E-2"/>
    <n v="8790.6"/>
  </r>
  <r>
    <s v="TXN-0420"/>
    <x v="3"/>
    <x v="1"/>
    <x v="1"/>
    <s v="Privado"/>
    <s v="Silla de Ruedas Elec."/>
    <s v="Rehabilitación"/>
    <s v="Rep_07"/>
    <n v="10"/>
    <n v="35000"/>
    <n v="21000"/>
    <n v="0.02"/>
    <x v="0"/>
    <n v="29"/>
    <n v="34300"/>
    <n v="343000"/>
    <n v="210000"/>
    <n v="133000"/>
    <n v="38.799999999999997"/>
    <n v="0.06"/>
    <n v="20580"/>
  </r>
  <r>
    <s v="TXN-0421"/>
    <x v="3"/>
    <x v="1"/>
    <x v="5"/>
    <s v="Público"/>
    <s v="Electrocardiógrafo"/>
    <s v="Diagnóstico"/>
    <s v="Rep_03"/>
    <n v="5"/>
    <n v="32000"/>
    <n v="19200"/>
    <n v="7.0000000000000007E-2"/>
    <x v="0"/>
    <n v="7"/>
    <n v="29760"/>
    <n v="148800"/>
    <n v="96000"/>
    <n v="52800"/>
    <n v="35.5"/>
    <n v="2.5000000000000001E-2"/>
    <n v="3720"/>
  </r>
  <r>
    <s v="TXN-0422"/>
    <x v="1"/>
    <x v="3"/>
    <x v="3"/>
    <s v="Privado"/>
    <s v="Desfibrilador"/>
    <s v="Emergencias"/>
    <s v="Rep_10"/>
    <n v="8"/>
    <n v="95000"/>
    <n v="57000"/>
    <n v="0.02"/>
    <x v="1"/>
    <n v="39"/>
    <n v="93100"/>
    <n v="744800"/>
    <n v="456000"/>
    <n v="288800"/>
    <n v="38.799999999999997"/>
    <n v="0.06"/>
    <n v="44688"/>
  </r>
  <r>
    <s v="TXN-0423"/>
    <x v="0"/>
    <x v="1"/>
    <x v="4"/>
    <s v="Público"/>
    <s v="Silla de Ruedas Elec."/>
    <s v="Rehabilitación"/>
    <s v="Rep_03"/>
    <n v="2"/>
    <n v="35000"/>
    <n v="21000"/>
    <n v="2.7E-2"/>
    <x v="0"/>
    <n v="31"/>
    <n v="34055"/>
    <n v="68110"/>
    <n v="42000"/>
    <n v="26110"/>
    <n v="38.299999999999997"/>
    <n v="2.5000000000000001E-2"/>
    <n v="1702.75"/>
  </r>
  <r>
    <s v="TXN-0424"/>
    <x v="2"/>
    <x v="1"/>
    <x v="5"/>
    <s v="Público"/>
    <s v="Cama Hospitalaria"/>
    <s v="Mobiliario Clínico"/>
    <s v="Rep_03"/>
    <n v="8"/>
    <n v="22000"/>
    <n v="13200"/>
    <n v="0.191"/>
    <x v="0"/>
    <n v="39"/>
    <n v="17798"/>
    <n v="142384"/>
    <n v="105600"/>
    <n v="36784"/>
    <n v="25.8"/>
    <n v="2.5000000000000001E-2"/>
    <n v="3559.6"/>
  </r>
  <r>
    <s v="TXN-0425"/>
    <x v="2"/>
    <x v="3"/>
    <x v="2"/>
    <s v="Público"/>
    <s v="Cama Hospitalaria"/>
    <s v="Mobiliario Clínico"/>
    <s v="Rep_08"/>
    <n v="13"/>
    <n v="22000"/>
    <n v="13200"/>
    <n v="0.152"/>
    <x v="0"/>
    <n v="6"/>
    <n v="18656"/>
    <n v="242528"/>
    <n v="171600"/>
    <n v="70928"/>
    <n v="29.2"/>
    <n v="2.5000000000000001E-2"/>
    <n v="6063.2"/>
  </r>
  <r>
    <s v="TXN-0426"/>
    <x v="3"/>
    <x v="3"/>
    <x v="2"/>
    <s v="Público"/>
    <s v="Silla de Ruedas Elec."/>
    <s v="Rehabilitación"/>
    <s v="Rep_06"/>
    <n v="5"/>
    <n v="35000"/>
    <n v="21000"/>
    <n v="1.2E-2"/>
    <x v="0"/>
    <n v="16"/>
    <n v="34580"/>
    <n v="172900"/>
    <n v="105000"/>
    <n v="67900"/>
    <n v="39.299999999999997"/>
    <n v="2.5000000000000001E-2"/>
    <n v="4322.5"/>
  </r>
  <r>
    <s v="TXN-0427"/>
    <x v="2"/>
    <x v="1"/>
    <x v="1"/>
    <s v="Privado"/>
    <s v="Silla de Ruedas Elec."/>
    <s v="Rehabilitación"/>
    <s v="Rep_01"/>
    <n v="11"/>
    <n v="35000"/>
    <n v="21000"/>
    <n v="6.2E-2"/>
    <x v="1"/>
    <n v="11"/>
    <n v="32830"/>
    <n v="361130"/>
    <n v="231000"/>
    <n v="130130"/>
    <n v="36"/>
    <n v="0.06"/>
    <n v="21667.8"/>
  </r>
  <r>
    <s v="TXN-0428"/>
    <x v="3"/>
    <x v="2"/>
    <x v="5"/>
    <s v="Público"/>
    <s v="Cama Hospitalaria"/>
    <s v="Mobiliario Clínico"/>
    <s v="Rep_07"/>
    <n v="9"/>
    <n v="22000"/>
    <n v="13200"/>
    <n v="4.2000000000000003E-2"/>
    <x v="0"/>
    <n v="22"/>
    <n v="21076"/>
    <n v="189684"/>
    <n v="118800"/>
    <n v="70884"/>
    <n v="37.4"/>
    <n v="2.5000000000000001E-2"/>
    <n v="4742.1000000000004"/>
  </r>
  <r>
    <s v="TXN-0429"/>
    <x v="2"/>
    <x v="1"/>
    <x v="3"/>
    <s v="Privado"/>
    <s v="Oxímetro Portátil"/>
    <s v="Diagnóstico"/>
    <s v="Rep_04"/>
    <n v="11"/>
    <n v="8500"/>
    <n v="5100"/>
    <n v="2.3E-2"/>
    <x v="0"/>
    <n v="42"/>
    <n v="8304.5"/>
    <n v="91349.5"/>
    <n v="56100"/>
    <n v="35249.5"/>
    <n v="38.6"/>
    <n v="0.06"/>
    <n v="5480.97"/>
  </r>
  <r>
    <s v="TXN-0430"/>
    <x v="3"/>
    <x v="1"/>
    <x v="2"/>
    <s v="Público"/>
    <s v="Monitor de Signos"/>
    <s v="Equipo UCI"/>
    <s v="Rep_10"/>
    <n v="14"/>
    <n v="45000"/>
    <n v="27000"/>
    <n v="8.3000000000000004E-2"/>
    <x v="1"/>
    <n v="35"/>
    <n v="41265"/>
    <n v="577710"/>
    <n v="378000"/>
    <n v="199710"/>
    <n v="34.6"/>
    <n v="2.5000000000000001E-2"/>
    <n v="14442.75"/>
  </r>
  <r>
    <s v="TXN-0431"/>
    <x v="0"/>
    <x v="2"/>
    <x v="3"/>
    <s v="Privado"/>
    <s v="Desfibrilador"/>
    <s v="Emergencias"/>
    <s v="Rep_08"/>
    <n v="1"/>
    <n v="95000"/>
    <n v="57000"/>
    <n v="2E-3"/>
    <x v="1"/>
    <n v="18"/>
    <n v="94810"/>
    <n v="94810"/>
    <n v="57000"/>
    <n v="37810"/>
    <n v="39.9"/>
    <n v="0.06"/>
    <n v="5688.6"/>
  </r>
  <r>
    <s v="TXN-0432"/>
    <x v="1"/>
    <x v="2"/>
    <x v="4"/>
    <s v="Público"/>
    <s v="Oxímetro Portátil"/>
    <s v="Diagnóstico"/>
    <s v="Rep_06"/>
    <n v="6"/>
    <n v="8500"/>
    <n v="5100"/>
    <n v="4.4999999999999998E-2"/>
    <x v="0"/>
    <n v="25"/>
    <n v="8117.5"/>
    <n v="48705"/>
    <n v="30600"/>
    <n v="18105"/>
    <n v="37.200000000000003"/>
    <n v="2.5000000000000001E-2"/>
    <n v="1217.6199999999999"/>
  </r>
  <r>
    <s v="TXN-0433"/>
    <x v="2"/>
    <x v="3"/>
    <x v="5"/>
    <s v="Público"/>
    <s v="Ventilador Mecánico"/>
    <s v="Equipo UCI"/>
    <s v="Rep_08"/>
    <n v="13"/>
    <n v="180000"/>
    <n v="108000"/>
    <n v="0.13600000000000001"/>
    <x v="0"/>
    <n v="30"/>
    <n v="155520"/>
    <n v="2021760"/>
    <n v="1404000"/>
    <n v="617760"/>
    <n v="30.6"/>
    <n v="2.5000000000000001E-2"/>
    <n v="50544"/>
  </r>
  <r>
    <s v="TXN-0434"/>
    <x v="3"/>
    <x v="1"/>
    <x v="1"/>
    <s v="Privado"/>
    <s v="Oxímetro Portátil"/>
    <s v="Diagnóstico"/>
    <s v="Rep_08"/>
    <n v="3"/>
    <n v="8500"/>
    <n v="5100"/>
    <n v="7.0999999999999994E-2"/>
    <x v="1"/>
    <n v="24"/>
    <n v="7896.5"/>
    <n v="23689.5"/>
    <n v="15300"/>
    <n v="8389.5"/>
    <n v="35.4"/>
    <n v="0.06"/>
    <n v="1421.37"/>
  </r>
  <r>
    <s v="TXN-0435"/>
    <x v="1"/>
    <x v="2"/>
    <x v="6"/>
    <s v="Privado"/>
    <s v="Ventilador Mecánico"/>
    <s v="Equipo UCI"/>
    <s v="Rep_01"/>
    <n v="12"/>
    <n v="180000"/>
    <n v="108000"/>
    <n v="1.7999999999999999E-2"/>
    <x v="0"/>
    <n v="8"/>
    <n v="176760"/>
    <n v="2121120"/>
    <n v="1296000"/>
    <n v="825120"/>
    <n v="38.9"/>
    <n v="0.06"/>
    <n v="127267.2"/>
  </r>
  <r>
    <s v="TXN-0436"/>
    <x v="0"/>
    <x v="1"/>
    <x v="5"/>
    <s v="Público"/>
    <s v="Oxímetro Portátil"/>
    <s v="Diagnóstico"/>
    <s v="Rep_04"/>
    <n v="7"/>
    <n v="8500"/>
    <n v="5100"/>
    <n v="0.01"/>
    <x v="0"/>
    <n v="8"/>
    <n v="8415"/>
    <n v="58905"/>
    <n v="35700"/>
    <n v="23205"/>
    <n v="39.4"/>
    <n v="2.5000000000000001E-2"/>
    <n v="1472.62"/>
  </r>
  <r>
    <s v="TXN-0437"/>
    <x v="2"/>
    <x v="1"/>
    <x v="4"/>
    <s v="Público"/>
    <s v="Silla de Ruedas Elec."/>
    <s v="Rehabilitación"/>
    <s v="Rep_03"/>
    <n v="1"/>
    <n v="35000"/>
    <n v="21000"/>
    <n v="0.151"/>
    <x v="0"/>
    <n v="30"/>
    <n v="29715"/>
    <n v="29715"/>
    <n v="21000"/>
    <n v="8715"/>
    <n v="29.3"/>
    <n v="2.5000000000000001E-2"/>
    <n v="742.88"/>
  </r>
  <r>
    <s v="TXN-0438"/>
    <x v="3"/>
    <x v="2"/>
    <x v="0"/>
    <s v="Privado"/>
    <s v="Monitor de Signos"/>
    <s v="Equipo UCI"/>
    <s v="Rep_04"/>
    <n v="3"/>
    <n v="45000"/>
    <n v="27000"/>
    <n v="3.3000000000000002E-2"/>
    <x v="1"/>
    <n v="3"/>
    <n v="43515"/>
    <n v="130545"/>
    <n v="81000"/>
    <n v="49545"/>
    <n v="38"/>
    <n v="0.06"/>
    <n v="7832.7"/>
  </r>
  <r>
    <s v="TXN-0439"/>
    <x v="2"/>
    <x v="3"/>
    <x v="4"/>
    <s v="Público"/>
    <s v="Monitor de Signos"/>
    <s v="Equipo UCI"/>
    <s v="Rep_03"/>
    <n v="9"/>
    <n v="45000"/>
    <n v="27000"/>
    <n v="8.7999999999999995E-2"/>
    <x v="1"/>
    <n v="42"/>
    <n v="41040"/>
    <n v="369360"/>
    <n v="243000"/>
    <n v="126360"/>
    <n v="34.200000000000003"/>
    <n v="2.5000000000000001E-2"/>
    <n v="9234"/>
  </r>
  <r>
    <s v="TXN-0440"/>
    <x v="1"/>
    <x v="3"/>
    <x v="1"/>
    <s v="Privado"/>
    <s v="Oxímetro Portátil"/>
    <s v="Diagnóstico"/>
    <s v="Rep_07"/>
    <n v="9"/>
    <n v="8500"/>
    <n v="5100"/>
    <n v="8.4000000000000005E-2"/>
    <x v="0"/>
    <n v="30"/>
    <n v="7786"/>
    <n v="70074"/>
    <n v="45900"/>
    <n v="24174"/>
    <n v="34.5"/>
    <n v="0.06"/>
    <n v="4204.4399999999996"/>
  </r>
  <r>
    <s v="TXN-0441"/>
    <x v="2"/>
    <x v="2"/>
    <x v="3"/>
    <s v="Privado"/>
    <s v="Oxímetro Portátil"/>
    <s v="Diagnóstico"/>
    <s v="Rep_01"/>
    <n v="1"/>
    <n v="8500"/>
    <n v="5100"/>
    <n v="5.8000000000000003E-2"/>
    <x v="0"/>
    <n v="31"/>
    <n v="8007"/>
    <n v="8007"/>
    <n v="5100"/>
    <n v="2907"/>
    <n v="36.299999999999997"/>
    <n v="0.06"/>
    <n v="480.42"/>
  </r>
  <r>
    <s v="TXN-0442"/>
    <x v="3"/>
    <x v="1"/>
    <x v="3"/>
    <s v="Privado"/>
    <s v="Oxímetro Portátil"/>
    <s v="Diagnóstico"/>
    <s v="Rep_09"/>
    <n v="3"/>
    <n v="8500"/>
    <n v="5100"/>
    <n v="1.7999999999999999E-2"/>
    <x v="0"/>
    <n v="44"/>
    <n v="8347"/>
    <n v="25041"/>
    <n v="15300"/>
    <n v="9741"/>
    <n v="38.9"/>
    <n v="0.06"/>
    <n v="1502.46"/>
  </r>
  <r>
    <s v="TXN-0443"/>
    <x v="0"/>
    <x v="4"/>
    <x v="1"/>
    <s v="Privado"/>
    <s v="Desfibrilador"/>
    <s v="Emergencias"/>
    <s v="Rep_01"/>
    <n v="7"/>
    <n v="95000"/>
    <n v="57000"/>
    <n v="5.0000000000000001E-3"/>
    <x v="0"/>
    <n v="39"/>
    <n v="94525"/>
    <n v="661675"/>
    <n v="399000"/>
    <n v="262675"/>
    <n v="39.700000000000003"/>
    <n v="0.06"/>
    <n v="39700.5"/>
  </r>
  <r>
    <s v="TXN-0444"/>
    <x v="0"/>
    <x v="2"/>
    <x v="4"/>
    <s v="Público"/>
    <s v="Desfibrilador"/>
    <s v="Emergencias"/>
    <s v="Rep_02"/>
    <n v="12"/>
    <n v="95000"/>
    <n v="57000"/>
    <n v="7.4999999999999997E-2"/>
    <x v="0"/>
    <n v="29"/>
    <n v="87875"/>
    <n v="1054500"/>
    <n v="684000"/>
    <n v="370500"/>
    <n v="35.1"/>
    <n v="2.5000000000000001E-2"/>
    <n v="26362.5"/>
  </r>
  <r>
    <s v="TXN-0445"/>
    <x v="1"/>
    <x v="0"/>
    <x v="4"/>
    <s v="Público"/>
    <s v="Oxímetro Portátil"/>
    <s v="Diagnóstico"/>
    <s v="Rep_03"/>
    <n v="10"/>
    <n v="8500"/>
    <n v="5100"/>
    <n v="3.2000000000000001E-2"/>
    <x v="1"/>
    <n v="10"/>
    <n v="8228"/>
    <n v="82280"/>
    <n v="51000"/>
    <n v="31280"/>
    <n v="38"/>
    <n v="2.5000000000000001E-2"/>
    <n v="2057"/>
  </r>
  <r>
    <s v="TXN-0446"/>
    <x v="1"/>
    <x v="1"/>
    <x v="1"/>
    <s v="Privado"/>
    <s v="Cama Hospitalaria"/>
    <s v="Mobiliario Clínico"/>
    <s v="Rep_08"/>
    <n v="9"/>
    <n v="22000"/>
    <n v="13200"/>
    <n v="7.9000000000000001E-2"/>
    <x v="0"/>
    <n v="7"/>
    <n v="20262"/>
    <n v="182358"/>
    <n v="118800"/>
    <n v="63558"/>
    <n v="34.9"/>
    <n v="0.06"/>
    <n v="10941.48"/>
  </r>
  <r>
    <s v="TXN-0447"/>
    <x v="1"/>
    <x v="4"/>
    <x v="2"/>
    <s v="Público"/>
    <s v="Desfibrilador"/>
    <s v="Emergencias"/>
    <s v="Rep_10"/>
    <n v="14"/>
    <n v="95000"/>
    <n v="57000"/>
    <n v="0.17"/>
    <x v="0"/>
    <n v="43"/>
    <n v="78850"/>
    <n v="1103900"/>
    <n v="798000"/>
    <n v="305900"/>
    <n v="27.7"/>
    <n v="2.5000000000000001E-2"/>
    <n v="27597.5"/>
  </r>
  <r>
    <s v="TXN-0448"/>
    <x v="0"/>
    <x v="0"/>
    <x v="3"/>
    <s v="Privado"/>
    <s v="Cama Hospitalaria"/>
    <s v="Mobiliario Clínico"/>
    <s v="Rep_06"/>
    <n v="12"/>
    <n v="22000"/>
    <n v="13200"/>
    <n v="5.6000000000000001E-2"/>
    <x v="0"/>
    <n v="39"/>
    <n v="20768"/>
    <n v="249216"/>
    <n v="158400"/>
    <n v="90816"/>
    <n v="36.4"/>
    <n v="0.06"/>
    <n v="14952.96"/>
  </r>
  <r>
    <s v="TXN-0449"/>
    <x v="0"/>
    <x v="2"/>
    <x v="5"/>
    <s v="Público"/>
    <s v="Electrocardiógrafo"/>
    <s v="Diagnóstico"/>
    <s v="Rep_07"/>
    <n v="7"/>
    <n v="32000"/>
    <n v="19200"/>
    <n v="0.183"/>
    <x v="0"/>
    <n v="8"/>
    <n v="26144"/>
    <n v="183008"/>
    <n v="134400"/>
    <n v="48608"/>
    <n v="26.6"/>
    <n v="2.5000000000000001E-2"/>
    <n v="4575.2"/>
  </r>
  <r>
    <s v="TXN-0450"/>
    <x v="1"/>
    <x v="2"/>
    <x v="5"/>
    <s v="Público"/>
    <s v="Monitor de Signos"/>
    <s v="Equipo UCI"/>
    <s v="Rep_03"/>
    <n v="12"/>
    <n v="45000"/>
    <n v="27000"/>
    <n v="0.193"/>
    <x v="0"/>
    <n v="36"/>
    <n v="36315"/>
    <n v="435780"/>
    <n v="324000"/>
    <n v="111780"/>
    <n v="25.7"/>
    <n v="2.5000000000000001E-2"/>
    <n v="10894.5"/>
  </r>
  <r>
    <s v="TXN-0451"/>
    <x v="0"/>
    <x v="2"/>
    <x v="1"/>
    <s v="Privado"/>
    <s v="Electrocardiógrafo"/>
    <s v="Diagnóstico"/>
    <s v="Rep_10"/>
    <n v="2"/>
    <n v="32000"/>
    <n v="19200"/>
    <n v="5.8999999999999997E-2"/>
    <x v="0"/>
    <n v="12"/>
    <n v="30112"/>
    <n v="60224"/>
    <n v="38400"/>
    <n v="21824"/>
    <n v="36.200000000000003"/>
    <n v="0.06"/>
    <n v="3613.44"/>
  </r>
  <r>
    <s v="TXN-0452"/>
    <x v="0"/>
    <x v="0"/>
    <x v="0"/>
    <s v="Privado"/>
    <s v="Desfibrilador"/>
    <s v="Emergencias"/>
    <s v="Rep_03"/>
    <n v="3"/>
    <n v="95000"/>
    <n v="57000"/>
    <n v="5.0999999999999997E-2"/>
    <x v="0"/>
    <n v="39"/>
    <n v="90155"/>
    <n v="270465"/>
    <n v="171000"/>
    <n v="99465"/>
    <n v="36.799999999999997"/>
    <n v="0.06"/>
    <n v="16227.9"/>
  </r>
  <r>
    <s v="TXN-0453"/>
    <x v="2"/>
    <x v="1"/>
    <x v="2"/>
    <s v="Público"/>
    <s v="Oxímetro Portátil"/>
    <s v="Diagnóstico"/>
    <s v="Rep_03"/>
    <n v="12"/>
    <n v="8500"/>
    <n v="5100"/>
    <n v="0.125"/>
    <x v="1"/>
    <n v="5"/>
    <n v="7437.5"/>
    <n v="89250"/>
    <n v="61200"/>
    <n v="28050"/>
    <n v="31.4"/>
    <n v="2.5000000000000001E-2"/>
    <n v="2231.25"/>
  </r>
  <r>
    <s v="TXN-0454"/>
    <x v="0"/>
    <x v="4"/>
    <x v="4"/>
    <s v="Público"/>
    <s v="Oxímetro Portátil"/>
    <s v="Diagnóstico"/>
    <s v="Rep_01"/>
    <n v="5"/>
    <n v="8500"/>
    <n v="5100"/>
    <n v="1.6E-2"/>
    <x v="0"/>
    <n v="39"/>
    <n v="8364"/>
    <n v="41820"/>
    <n v="25500"/>
    <n v="16320"/>
    <n v="39"/>
    <n v="2.5000000000000001E-2"/>
    <n v="1045.5"/>
  </r>
  <r>
    <s v="TXN-0455"/>
    <x v="1"/>
    <x v="3"/>
    <x v="5"/>
    <s v="Público"/>
    <s v="Monitor de Signos"/>
    <s v="Equipo UCI"/>
    <s v="Rep_10"/>
    <n v="10"/>
    <n v="45000"/>
    <n v="27000"/>
    <n v="7.4999999999999997E-2"/>
    <x v="0"/>
    <n v="42"/>
    <n v="41625"/>
    <n v="416250"/>
    <n v="270000"/>
    <n v="146250"/>
    <n v="35.1"/>
    <n v="2.5000000000000001E-2"/>
    <n v="10406.25"/>
  </r>
  <r>
    <s v="TXN-0456"/>
    <x v="1"/>
    <x v="3"/>
    <x v="5"/>
    <s v="Público"/>
    <s v="Monitor de Signos"/>
    <s v="Equipo UCI"/>
    <s v="Rep_04"/>
    <n v="2"/>
    <n v="45000"/>
    <n v="27000"/>
    <n v="8.9999999999999993E-3"/>
    <x v="0"/>
    <n v="40"/>
    <n v="44595"/>
    <n v="89190"/>
    <n v="54000"/>
    <n v="35190"/>
    <n v="39.5"/>
    <n v="2.5000000000000001E-2"/>
    <n v="2229.75"/>
  </r>
  <r>
    <s v="TXN-0457"/>
    <x v="2"/>
    <x v="1"/>
    <x v="5"/>
    <s v="Público"/>
    <s v="Electrocardiógrafo"/>
    <s v="Diagnóstico"/>
    <s v="Rep_09"/>
    <n v="10"/>
    <n v="32000"/>
    <n v="19200"/>
    <n v="9.8000000000000004E-2"/>
    <x v="0"/>
    <n v="5"/>
    <n v="28864"/>
    <n v="288640"/>
    <n v="192000"/>
    <n v="96640"/>
    <n v="33.5"/>
    <n v="2.5000000000000001E-2"/>
    <n v="7216"/>
  </r>
  <r>
    <s v="TXN-0458"/>
    <x v="3"/>
    <x v="1"/>
    <x v="3"/>
    <s v="Privado"/>
    <s v="Desfibrilador"/>
    <s v="Emergencias"/>
    <s v="Rep_03"/>
    <n v="8"/>
    <n v="95000"/>
    <n v="57000"/>
    <n v="2.3E-2"/>
    <x v="0"/>
    <n v="32"/>
    <n v="92815"/>
    <n v="742520"/>
    <n v="456000"/>
    <n v="286520"/>
    <n v="38.6"/>
    <n v="0.06"/>
    <n v="44551.199999999997"/>
  </r>
  <r>
    <s v="TXN-0459"/>
    <x v="0"/>
    <x v="1"/>
    <x v="1"/>
    <s v="Privado"/>
    <s v="Desfibrilador"/>
    <s v="Emergencias"/>
    <s v="Rep_01"/>
    <n v="10"/>
    <n v="95000"/>
    <n v="57000"/>
    <n v="4.1000000000000002E-2"/>
    <x v="1"/>
    <n v="28"/>
    <n v="91105"/>
    <n v="911050"/>
    <n v="570000"/>
    <n v="341050"/>
    <n v="37.4"/>
    <n v="0.06"/>
    <n v="54663"/>
  </r>
  <r>
    <s v="TXN-0460"/>
    <x v="0"/>
    <x v="4"/>
    <x v="5"/>
    <s v="Público"/>
    <s v="Electrocardiógrafo"/>
    <s v="Diagnóstico"/>
    <s v="Rep_02"/>
    <n v="12"/>
    <n v="32000"/>
    <n v="19200"/>
    <n v="0.14099999999999999"/>
    <x v="0"/>
    <n v="3"/>
    <n v="27488"/>
    <n v="329856"/>
    <n v="230400"/>
    <n v="99456"/>
    <n v="30.2"/>
    <n v="2.5000000000000001E-2"/>
    <n v="8246.4"/>
  </r>
  <r>
    <s v="TXN-0461"/>
    <x v="2"/>
    <x v="3"/>
    <x v="3"/>
    <s v="Privado"/>
    <s v="Electrocardiógrafo"/>
    <s v="Diagnóstico"/>
    <s v="Rep_06"/>
    <n v="7"/>
    <n v="32000"/>
    <n v="19200"/>
    <n v="2.5999999999999999E-2"/>
    <x v="0"/>
    <n v="14"/>
    <n v="31168"/>
    <n v="218176"/>
    <n v="134400"/>
    <n v="83776"/>
    <n v="38.4"/>
    <n v="0.06"/>
    <n v="13090.56"/>
  </r>
  <r>
    <s v="TXN-0462"/>
    <x v="2"/>
    <x v="3"/>
    <x v="5"/>
    <s v="Público"/>
    <s v="Electrocardiógrafo"/>
    <s v="Diagnóstico"/>
    <s v="Rep_07"/>
    <n v="7"/>
    <n v="32000"/>
    <n v="19200"/>
    <n v="0.104"/>
    <x v="0"/>
    <n v="30"/>
    <n v="28672"/>
    <n v="200704"/>
    <n v="134400"/>
    <n v="66304"/>
    <n v="33"/>
    <n v="2.5000000000000001E-2"/>
    <n v="5017.6000000000004"/>
  </r>
  <r>
    <s v="TXN-0463"/>
    <x v="0"/>
    <x v="1"/>
    <x v="5"/>
    <s v="Público"/>
    <s v="Electrocardiógrafo"/>
    <s v="Diagnóstico"/>
    <s v="Rep_06"/>
    <n v="6"/>
    <n v="32000"/>
    <n v="19200"/>
    <n v="0.14799999999999999"/>
    <x v="0"/>
    <n v="32"/>
    <n v="27264"/>
    <n v="163584"/>
    <n v="115200"/>
    <n v="48384"/>
    <n v="29.6"/>
    <n v="2.5000000000000001E-2"/>
    <n v="4089.6"/>
  </r>
  <r>
    <s v="TXN-0464"/>
    <x v="1"/>
    <x v="1"/>
    <x v="0"/>
    <s v="Privado"/>
    <s v="Monitor de Signos"/>
    <s v="Equipo UCI"/>
    <s v="Rep_05"/>
    <n v="7"/>
    <n v="45000"/>
    <n v="27000"/>
    <n v="4.7E-2"/>
    <x v="1"/>
    <n v="12"/>
    <n v="42885"/>
    <n v="300195"/>
    <n v="189000"/>
    <n v="111195"/>
    <n v="37"/>
    <n v="0.06"/>
    <n v="18011.7"/>
  </r>
  <r>
    <s v="TXN-0465"/>
    <x v="0"/>
    <x v="3"/>
    <x v="6"/>
    <s v="Privado"/>
    <s v="Monitor de Signos"/>
    <s v="Equipo UCI"/>
    <s v="Rep_07"/>
    <n v="6"/>
    <n v="45000"/>
    <n v="27000"/>
    <n v="2E-3"/>
    <x v="0"/>
    <n v="9"/>
    <n v="44910"/>
    <n v="269460"/>
    <n v="162000"/>
    <n v="107460"/>
    <n v="39.9"/>
    <n v="0.06"/>
    <n v="16167.6"/>
  </r>
  <r>
    <s v="TXN-0466"/>
    <x v="0"/>
    <x v="2"/>
    <x v="5"/>
    <s v="Público"/>
    <s v="Ventilador Mecánico"/>
    <s v="Equipo UCI"/>
    <s v="Rep_10"/>
    <n v="6"/>
    <n v="180000"/>
    <n v="108000"/>
    <n v="0.13100000000000001"/>
    <x v="0"/>
    <n v="31"/>
    <n v="156420"/>
    <n v="938520"/>
    <n v="648000"/>
    <n v="290520"/>
    <n v="31"/>
    <n v="2.5000000000000001E-2"/>
    <n v="23463"/>
  </r>
  <r>
    <s v="TXN-0467"/>
    <x v="1"/>
    <x v="2"/>
    <x v="3"/>
    <s v="Privado"/>
    <s v="Bomba de Infusión"/>
    <s v="Medicación IV"/>
    <s v="Rep_02"/>
    <n v="4"/>
    <n v="28000"/>
    <n v="16800"/>
    <n v="3.6999999999999998E-2"/>
    <x v="0"/>
    <n v="27"/>
    <n v="26964"/>
    <n v="107856"/>
    <n v="67200"/>
    <n v="40656"/>
    <n v="37.700000000000003"/>
    <n v="0.06"/>
    <n v="6471.36"/>
  </r>
  <r>
    <s v="TXN-0468"/>
    <x v="0"/>
    <x v="1"/>
    <x v="1"/>
    <s v="Privado"/>
    <s v="Ventilador Mecánico"/>
    <s v="Equipo UCI"/>
    <s v="Rep_08"/>
    <n v="10"/>
    <n v="180000"/>
    <n v="108000"/>
    <n v="4.8000000000000001E-2"/>
    <x v="0"/>
    <n v="16"/>
    <n v="171360"/>
    <n v="1713600"/>
    <n v="1080000"/>
    <n v="633600"/>
    <n v="37"/>
    <n v="0.06"/>
    <n v="102816"/>
  </r>
  <r>
    <s v="TXN-0469"/>
    <x v="2"/>
    <x v="4"/>
    <x v="5"/>
    <s v="Público"/>
    <s v="Electrocardiógrafo"/>
    <s v="Diagnóstico"/>
    <s v="Rep_07"/>
    <n v="11"/>
    <n v="32000"/>
    <n v="19200"/>
    <n v="3.6999999999999998E-2"/>
    <x v="1"/>
    <n v="23"/>
    <n v="30816"/>
    <n v="338976"/>
    <n v="211200"/>
    <n v="127776"/>
    <n v="37.700000000000003"/>
    <n v="2.5000000000000001E-2"/>
    <n v="8474.4"/>
  </r>
  <r>
    <s v="TXN-0470"/>
    <x v="0"/>
    <x v="2"/>
    <x v="1"/>
    <s v="Privado"/>
    <s v="Monitor de Signos"/>
    <s v="Equipo UCI"/>
    <s v="Rep_06"/>
    <n v="6"/>
    <n v="45000"/>
    <n v="27000"/>
    <n v="6.3E-2"/>
    <x v="1"/>
    <n v="42"/>
    <n v="42165"/>
    <n v="252990"/>
    <n v="162000"/>
    <n v="90990"/>
    <n v="36"/>
    <n v="0.06"/>
    <n v="15179.4"/>
  </r>
  <r>
    <s v="TXN-0471"/>
    <x v="1"/>
    <x v="1"/>
    <x v="3"/>
    <s v="Privado"/>
    <s v="Monitor de Signos"/>
    <s v="Equipo UCI"/>
    <s v="Rep_10"/>
    <n v="6"/>
    <n v="45000"/>
    <n v="27000"/>
    <n v="1.2999999999999999E-2"/>
    <x v="0"/>
    <n v="20"/>
    <n v="44415"/>
    <n v="266490"/>
    <n v="162000"/>
    <n v="104490"/>
    <n v="39.200000000000003"/>
    <n v="0.06"/>
    <n v="15989.4"/>
  </r>
  <r>
    <s v="TXN-0472"/>
    <x v="1"/>
    <x v="1"/>
    <x v="4"/>
    <s v="Público"/>
    <s v="Monitor de Signos"/>
    <s v="Equipo UCI"/>
    <s v="Rep_04"/>
    <n v="2"/>
    <n v="45000"/>
    <n v="27000"/>
    <n v="4.2000000000000003E-2"/>
    <x v="1"/>
    <n v="9"/>
    <n v="43110"/>
    <n v="86220"/>
    <n v="54000"/>
    <n v="32220"/>
    <n v="37.4"/>
    <n v="2.5000000000000001E-2"/>
    <n v="2155.5"/>
  </r>
  <r>
    <s v="TXN-0473"/>
    <x v="0"/>
    <x v="1"/>
    <x v="2"/>
    <s v="Público"/>
    <s v="Monitor de Signos"/>
    <s v="Equipo UCI"/>
    <s v="Rep_08"/>
    <n v="13"/>
    <n v="45000"/>
    <n v="27000"/>
    <n v="0.13600000000000001"/>
    <x v="0"/>
    <n v="26"/>
    <n v="38880"/>
    <n v="505440"/>
    <n v="351000"/>
    <n v="154440"/>
    <n v="30.6"/>
    <n v="2.5000000000000001E-2"/>
    <n v="12636"/>
  </r>
  <r>
    <s v="TXN-0474"/>
    <x v="3"/>
    <x v="3"/>
    <x v="1"/>
    <s v="Privado"/>
    <s v="Bomba de Infusión"/>
    <s v="Medicación IV"/>
    <s v="Rep_03"/>
    <n v="2"/>
    <n v="28000"/>
    <n v="16800"/>
    <n v="5.7000000000000002E-2"/>
    <x v="0"/>
    <n v="31"/>
    <n v="26404"/>
    <n v="52808"/>
    <n v="33600"/>
    <n v="19208"/>
    <n v="36.4"/>
    <n v="0.06"/>
    <n v="3168.48"/>
  </r>
  <r>
    <s v="TXN-0475"/>
    <x v="0"/>
    <x v="2"/>
    <x v="5"/>
    <s v="Público"/>
    <s v="Cama Hospitalaria"/>
    <s v="Mobiliario Clínico"/>
    <s v="Rep_05"/>
    <n v="12"/>
    <n v="22000"/>
    <n v="13200"/>
    <n v="6.9000000000000006E-2"/>
    <x v="0"/>
    <n v="37"/>
    <n v="20482"/>
    <n v="245784"/>
    <n v="158400"/>
    <n v="87384"/>
    <n v="35.6"/>
    <n v="2.5000000000000001E-2"/>
    <n v="6144.6"/>
  </r>
  <r>
    <s v="TXN-0476"/>
    <x v="2"/>
    <x v="1"/>
    <x v="5"/>
    <s v="Público"/>
    <s v="Electrocardiógrafo"/>
    <s v="Diagnóstico"/>
    <s v="Rep_09"/>
    <n v="9"/>
    <n v="32000"/>
    <n v="19200"/>
    <n v="0.191"/>
    <x v="0"/>
    <n v="10"/>
    <n v="25888"/>
    <n v="232992"/>
    <n v="172800"/>
    <n v="60192"/>
    <n v="25.8"/>
    <n v="2.5000000000000001E-2"/>
    <n v="5824.8"/>
  </r>
  <r>
    <s v="TXN-0477"/>
    <x v="2"/>
    <x v="3"/>
    <x v="5"/>
    <s v="Público"/>
    <s v="Monitor de Signos"/>
    <s v="Equipo UCI"/>
    <s v="Rep_01"/>
    <n v="5"/>
    <n v="45000"/>
    <n v="27000"/>
    <n v="8.7999999999999995E-2"/>
    <x v="1"/>
    <n v="14"/>
    <n v="41040"/>
    <n v="205200"/>
    <n v="135000"/>
    <n v="70200"/>
    <n v="34.200000000000003"/>
    <n v="2.5000000000000001E-2"/>
    <n v="5130"/>
  </r>
  <r>
    <s v="TXN-0478"/>
    <x v="0"/>
    <x v="2"/>
    <x v="0"/>
    <s v="Privado"/>
    <s v="Bomba de Infusión"/>
    <s v="Medicación IV"/>
    <s v="Rep_07"/>
    <n v="7"/>
    <n v="28000"/>
    <n v="16800"/>
    <n v="1.2999999999999999E-2"/>
    <x v="1"/>
    <n v="38"/>
    <n v="27636"/>
    <n v="193452"/>
    <n v="117600"/>
    <n v="75852"/>
    <n v="39.200000000000003"/>
    <n v="0.06"/>
    <n v="11607.12"/>
  </r>
  <r>
    <s v="TXN-0479"/>
    <x v="1"/>
    <x v="1"/>
    <x v="5"/>
    <s v="Público"/>
    <s v="Bomba de Infusión"/>
    <s v="Medicación IV"/>
    <s v="Rep_01"/>
    <n v="7"/>
    <n v="28000"/>
    <n v="16800"/>
    <n v="0.10299999999999999"/>
    <x v="0"/>
    <n v="7"/>
    <n v="25116"/>
    <n v="175812"/>
    <n v="117600"/>
    <n v="58212"/>
    <n v="33.1"/>
    <n v="2.5000000000000001E-2"/>
    <n v="4395.3"/>
  </r>
  <r>
    <s v="TXN-0480"/>
    <x v="2"/>
    <x v="4"/>
    <x v="5"/>
    <s v="Público"/>
    <s v="Desfibrilador"/>
    <s v="Emergencias"/>
    <s v="Rep_04"/>
    <n v="6"/>
    <n v="95000"/>
    <n v="57000"/>
    <n v="3.5999999999999997E-2"/>
    <x v="0"/>
    <n v="24"/>
    <n v="91580"/>
    <n v="549480"/>
    <n v="342000"/>
    <n v="207480"/>
    <n v="37.799999999999997"/>
    <n v="2.5000000000000001E-2"/>
    <n v="13737"/>
  </r>
  <r>
    <s v="TXN-0481"/>
    <x v="1"/>
    <x v="1"/>
    <x v="4"/>
    <s v="Público"/>
    <s v="Monitor de Signos"/>
    <s v="Equipo UCI"/>
    <s v="Rep_02"/>
    <n v="7"/>
    <n v="45000"/>
    <n v="27000"/>
    <n v="0.11"/>
    <x v="0"/>
    <n v="8"/>
    <n v="40050"/>
    <n v="280350"/>
    <n v="189000"/>
    <n v="91350"/>
    <n v="32.6"/>
    <n v="2.5000000000000001E-2"/>
    <n v="7008.75"/>
  </r>
  <r>
    <s v="TXN-0482"/>
    <x v="0"/>
    <x v="2"/>
    <x v="5"/>
    <s v="Público"/>
    <s v="Monitor de Signos"/>
    <s v="Equipo UCI"/>
    <s v="Rep_01"/>
    <n v="11"/>
    <n v="45000"/>
    <n v="27000"/>
    <n v="3.5000000000000003E-2"/>
    <x v="0"/>
    <n v="38"/>
    <n v="43425"/>
    <n v="477675"/>
    <n v="297000"/>
    <n v="180675"/>
    <n v="37.799999999999997"/>
    <n v="2.5000000000000001E-2"/>
    <n v="11941.88"/>
  </r>
  <r>
    <s v="TXN-0483"/>
    <x v="2"/>
    <x v="3"/>
    <x v="3"/>
    <s v="Privado"/>
    <s v="Bomba de Infusión"/>
    <s v="Medicación IV"/>
    <s v="Rep_08"/>
    <n v="10"/>
    <n v="28000"/>
    <n v="16800"/>
    <n v="6.0999999999999999E-2"/>
    <x v="0"/>
    <n v="35"/>
    <n v="26292"/>
    <n v="262920"/>
    <n v="168000"/>
    <n v="94920"/>
    <n v="36.1"/>
    <n v="0.06"/>
    <n v="15775.2"/>
  </r>
  <r>
    <s v="TXN-0484"/>
    <x v="0"/>
    <x v="3"/>
    <x v="6"/>
    <s v="Privado"/>
    <s v="Ventilador Mecánico"/>
    <s v="Equipo UCI"/>
    <s v="Rep_09"/>
    <n v="1"/>
    <n v="180000"/>
    <n v="108000"/>
    <n v="1.6E-2"/>
    <x v="0"/>
    <n v="18"/>
    <n v="177120"/>
    <n v="177120"/>
    <n v="108000"/>
    <n v="69120"/>
    <n v="39"/>
    <n v="0.06"/>
    <n v="10627.2"/>
  </r>
  <r>
    <s v="TXN-0485"/>
    <x v="3"/>
    <x v="0"/>
    <x v="5"/>
    <s v="Público"/>
    <s v="Silla de Ruedas Elec."/>
    <s v="Rehabilitación"/>
    <s v="Rep_02"/>
    <n v="3"/>
    <n v="35000"/>
    <n v="21000"/>
    <n v="0.159"/>
    <x v="0"/>
    <n v="5"/>
    <n v="29435"/>
    <n v="88305"/>
    <n v="63000"/>
    <n v="25305"/>
    <n v="28.7"/>
    <n v="2.5000000000000001E-2"/>
    <n v="2207.62"/>
  </r>
  <r>
    <s v="TXN-0486"/>
    <x v="2"/>
    <x v="0"/>
    <x v="6"/>
    <s v="Privado"/>
    <s v="Monitor de Signos"/>
    <s v="Equipo UCI"/>
    <s v="Rep_01"/>
    <n v="7"/>
    <n v="45000"/>
    <n v="27000"/>
    <n v="7.6999999999999999E-2"/>
    <x v="0"/>
    <n v="19"/>
    <n v="41535"/>
    <n v="290745"/>
    <n v="189000"/>
    <n v="101745"/>
    <n v="35"/>
    <n v="0.06"/>
    <n v="17444.7"/>
  </r>
  <r>
    <s v="TXN-0487"/>
    <x v="1"/>
    <x v="2"/>
    <x v="4"/>
    <s v="Público"/>
    <s v="Cama Hospitalaria"/>
    <s v="Mobiliario Clínico"/>
    <s v="Rep_08"/>
    <n v="7"/>
    <n v="22000"/>
    <n v="13200"/>
    <n v="3.6999999999999998E-2"/>
    <x v="0"/>
    <n v="32"/>
    <n v="21186"/>
    <n v="148302"/>
    <n v="92400"/>
    <n v="55902"/>
    <n v="37.700000000000003"/>
    <n v="2.5000000000000001E-2"/>
    <n v="3707.55"/>
  </r>
  <r>
    <s v="TXN-0488"/>
    <x v="0"/>
    <x v="1"/>
    <x v="4"/>
    <s v="Público"/>
    <s v="Ventilador Mecánico"/>
    <s v="Equipo UCI"/>
    <s v="Rep_08"/>
    <n v="4"/>
    <n v="180000"/>
    <n v="108000"/>
    <n v="3.5999999999999997E-2"/>
    <x v="1"/>
    <n v="36"/>
    <n v="173520"/>
    <n v="694080"/>
    <n v="432000"/>
    <n v="262080"/>
    <n v="37.799999999999997"/>
    <n v="2.5000000000000001E-2"/>
    <n v="17352"/>
  </r>
  <r>
    <s v="TXN-0489"/>
    <x v="2"/>
    <x v="1"/>
    <x v="1"/>
    <s v="Privado"/>
    <s v="Monitor de Signos"/>
    <s v="Equipo UCI"/>
    <s v="Rep_06"/>
    <n v="3"/>
    <n v="45000"/>
    <n v="27000"/>
    <n v="0.03"/>
    <x v="1"/>
    <n v="10"/>
    <n v="43650"/>
    <n v="130950"/>
    <n v="81000"/>
    <n v="49950"/>
    <n v="38.1"/>
    <n v="0.06"/>
    <n v="7857"/>
  </r>
  <r>
    <s v="TXN-0490"/>
    <x v="1"/>
    <x v="3"/>
    <x v="6"/>
    <s v="Privado"/>
    <s v="Cama Hospitalaria"/>
    <s v="Mobiliario Clínico"/>
    <s v="Rep_07"/>
    <n v="4"/>
    <n v="22000"/>
    <n v="13200"/>
    <n v="9.1999999999999998E-2"/>
    <x v="0"/>
    <n v="32"/>
    <n v="19976"/>
    <n v="79904"/>
    <n v="52800"/>
    <n v="27104"/>
    <n v="33.9"/>
    <n v="0.06"/>
    <n v="4794.24"/>
  </r>
  <r>
    <s v="TXN-0491"/>
    <x v="0"/>
    <x v="1"/>
    <x v="5"/>
    <s v="Público"/>
    <s v="Monitor de Signos"/>
    <s v="Equipo UCI"/>
    <s v="Rep_08"/>
    <n v="2"/>
    <n v="45000"/>
    <n v="27000"/>
    <n v="0.04"/>
    <x v="0"/>
    <n v="6"/>
    <n v="43200"/>
    <n v="86400"/>
    <n v="54000"/>
    <n v="32400"/>
    <n v="37.5"/>
    <n v="2.5000000000000001E-2"/>
    <n v="2160"/>
  </r>
  <r>
    <s v="TXN-0492"/>
    <x v="1"/>
    <x v="0"/>
    <x v="2"/>
    <s v="Público"/>
    <s v="Ventilador Mecánico"/>
    <s v="Equipo UCI"/>
    <s v="Rep_01"/>
    <n v="14"/>
    <n v="180000"/>
    <n v="108000"/>
    <n v="0.12"/>
    <x v="0"/>
    <n v="32"/>
    <n v="158400"/>
    <n v="2217600"/>
    <n v="1512000"/>
    <n v="705600"/>
    <n v="31.8"/>
    <n v="2.5000000000000001E-2"/>
    <n v="55440"/>
  </r>
  <r>
    <s v="TXN-0493"/>
    <x v="0"/>
    <x v="1"/>
    <x v="4"/>
    <s v="Público"/>
    <s v="Oxímetro Portátil"/>
    <s v="Diagnóstico"/>
    <s v="Rep_04"/>
    <n v="7"/>
    <n v="8500"/>
    <n v="5100"/>
    <n v="4.3999999999999997E-2"/>
    <x v="1"/>
    <n v="40"/>
    <n v="8126"/>
    <n v="56882"/>
    <n v="35700"/>
    <n v="21182"/>
    <n v="37.200000000000003"/>
    <n v="2.5000000000000001E-2"/>
    <n v="1422.05"/>
  </r>
  <r>
    <s v="TXN-0494"/>
    <x v="0"/>
    <x v="0"/>
    <x v="1"/>
    <s v="Privado"/>
    <s v="Cama Hospitalaria"/>
    <s v="Mobiliario Clínico"/>
    <s v="Rep_05"/>
    <n v="11"/>
    <n v="22000"/>
    <n v="13200"/>
    <n v="3.5999999999999997E-2"/>
    <x v="1"/>
    <n v="25"/>
    <n v="21208"/>
    <n v="233288"/>
    <n v="145200"/>
    <n v="88088"/>
    <n v="37.799999999999997"/>
    <n v="0.06"/>
    <n v="13997.28"/>
  </r>
  <r>
    <s v="TXN-0495"/>
    <x v="2"/>
    <x v="1"/>
    <x v="5"/>
    <s v="Público"/>
    <s v="Electrocardiógrafo"/>
    <s v="Diagnóstico"/>
    <s v="Rep_10"/>
    <n v="14"/>
    <n v="32000"/>
    <n v="19200"/>
    <n v="1.9E-2"/>
    <x v="0"/>
    <n v="15"/>
    <n v="31392"/>
    <n v="439488"/>
    <n v="268800"/>
    <n v="170688"/>
    <n v="38.799999999999997"/>
    <n v="2.5000000000000001E-2"/>
    <n v="10987.2"/>
  </r>
  <r>
    <s v="TXN-0496"/>
    <x v="3"/>
    <x v="4"/>
    <x v="5"/>
    <s v="Público"/>
    <s v="Bomba de Infusión"/>
    <s v="Medicación IV"/>
    <s v="Rep_07"/>
    <n v="1"/>
    <n v="28000"/>
    <n v="16800"/>
    <n v="2.4E-2"/>
    <x v="1"/>
    <n v="26"/>
    <n v="27328"/>
    <n v="27328"/>
    <n v="16800"/>
    <n v="10528"/>
    <n v="38.5"/>
    <n v="2.5000000000000001E-2"/>
    <n v="683.2"/>
  </r>
  <r>
    <s v="TXN-0497"/>
    <x v="2"/>
    <x v="1"/>
    <x v="6"/>
    <s v="Privado"/>
    <s v="Monitor de Signos"/>
    <s v="Equipo UCI"/>
    <s v="Rep_10"/>
    <n v="6"/>
    <n v="45000"/>
    <n v="27000"/>
    <n v="9.2999999999999999E-2"/>
    <x v="0"/>
    <n v="36"/>
    <n v="40815"/>
    <n v="244890"/>
    <n v="162000"/>
    <n v="82890"/>
    <n v="33.799999999999997"/>
    <n v="0.06"/>
    <n v="14693.4"/>
  </r>
  <r>
    <s v="TXN-0498"/>
    <x v="0"/>
    <x v="3"/>
    <x v="1"/>
    <s v="Privado"/>
    <s v="Ventilador Mecánico"/>
    <s v="Equipo UCI"/>
    <s v="Rep_10"/>
    <n v="13"/>
    <n v="180000"/>
    <n v="108000"/>
    <n v="7.6999999999999999E-2"/>
    <x v="0"/>
    <n v="28"/>
    <n v="166140"/>
    <n v="2159820"/>
    <n v="1404000"/>
    <n v="755820"/>
    <n v="35"/>
    <n v="0.06"/>
    <n v="129589.2"/>
  </r>
  <r>
    <s v="TXN-0499"/>
    <x v="1"/>
    <x v="2"/>
    <x v="5"/>
    <s v="Público"/>
    <s v="Bomba de Infusión"/>
    <s v="Medicación IV"/>
    <s v="Rep_08"/>
    <n v="8"/>
    <n v="28000"/>
    <n v="16800"/>
    <n v="9.8000000000000004E-2"/>
    <x v="0"/>
    <n v="16"/>
    <n v="25256"/>
    <n v="202048"/>
    <n v="134400"/>
    <n v="67648"/>
    <n v="33.5"/>
    <n v="2.5000000000000001E-2"/>
    <n v="5051.2"/>
  </r>
  <r>
    <s v="TXN-0500"/>
    <x v="1"/>
    <x v="3"/>
    <x v="4"/>
    <s v="Público"/>
    <s v="Electrocardiógrafo"/>
    <s v="Diagnóstico"/>
    <s v="Rep_05"/>
    <n v="14"/>
    <n v="32000"/>
    <n v="19200"/>
    <n v="0.16600000000000001"/>
    <x v="1"/>
    <n v="32"/>
    <n v="26688"/>
    <n v="373632"/>
    <n v="268800"/>
    <n v="104832"/>
    <n v="28.1"/>
    <n v="2.5000000000000001E-2"/>
    <n v="9340.7999999999993"/>
  </r>
  <r>
    <s v="TXN-0501"/>
    <x v="0"/>
    <x v="1"/>
    <x v="3"/>
    <s v="Privado"/>
    <s v="Monitor de Signos"/>
    <s v="Equipo UCI"/>
    <s v="Rep_10"/>
    <n v="1"/>
    <n v="45000"/>
    <n v="27000"/>
    <n v="2.5999999999999999E-2"/>
    <x v="1"/>
    <n v="23"/>
    <n v="43830"/>
    <n v="43830"/>
    <n v="27000"/>
    <n v="16830"/>
    <n v="38.4"/>
    <n v="0.06"/>
    <n v="2629.8"/>
  </r>
  <r>
    <s v="TXN-0502"/>
    <x v="2"/>
    <x v="3"/>
    <x v="5"/>
    <s v="Público"/>
    <s v="Desfibrilador"/>
    <s v="Emergencias"/>
    <s v="Rep_04"/>
    <n v="4"/>
    <n v="95000"/>
    <n v="57000"/>
    <n v="0.182"/>
    <x v="0"/>
    <n v="18"/>
    <n v="77710"/>
    <n v="310840"/>
    <n v="228000"/>
    <n v="82840"/>
    <n v="26.7"/>
    <n v="2.5000000000000001E-2"/>
    <n v="7771"/>
  </r>
  <r>
    <s v="TXN-0503"/>
    <x v="1"/>
    <x v="3"/>
    <x v="1"/>
    <s v="Privado"/>
    <s v="Electrocardiógrafo"/>
    <s v="Diagnóstico"/>
    <s v="Rep_07"/>
    <n v="5"/>
    <n v="32000"/>
    <n v="19200"/>
    <n v="0.04"/>
    <x v="0"/>
    <n v="29"/>
    <n v="30720"/>
    <n v="153600"/>
    <n v="96000"/>
    <n v="57600"/>
    <n v="37.5"/>
    <n v="0.06"/>
    <n v="9216"/>
  </r>
  <r>
    <s v="TXN-0504"/>
    <x v="3"/>
    <x v="2"/>
    <x v="2"/>
    <s v="Público"/>
    <s v="Electrocardiógrafo"/>
    <s v="Diagnóstico"/>
    <s v="Rep_05"/>
    <n v="6"/>
    <n v="32000"/>
    <n v="19200"/>
    <n v="0.19800000000000001"/>
    <x v="0"/>
    <n v="20"/>
    <n v="25664"/>
    <n v="153984"/>
    <n v="115200"/>
    <n v="38784"/>
    <n v="25.2"/>
    <n v="2.5000000000000001E-2"/>
    <n v="3849.6"/>
  </r>
  <r>
    <s v="TXN-0505"/>
    <x v="0"/>
    <x v="3"/>
    <x v="0"/>
    <s v="Privado"/>
    <s v="Silla de Ruedas Elec."/>
    <s v="Rehabilitación"/>
    <s v="Rep_07"/>
    <n v="9"/>
    <n v="35000"/>
    <n v="21000"/>
    <n v="4.0000000000000001E-3"/>
    <x v="0"/>
    <n v="41"/>
    <n v="34860"/>
    <n v="313740"/>
    <n v="189000"/>
    <n v="124740"/>
    <n v="39.799999999999997"/>
    <n v="0.06"/>
    <n v="18824.400000000001"/>
  </r>
  <r>
    <s v="TXN-0506"/>
    <x v="3"/>
    <x v="2"/>
    <x v="1"/>
    <s v="Privado"/>
    <s v="Oxímetro Portátil"/>
    <s v="Diagnóstico"/>
    <s v="Rep_01"/>
    <n v="13"/>
    <n v="8500"/>
    <n v="5100"/>
    <n v="3.3000000000000002E-2"/>
    <x v="0"/>
    <n v="18"/>
    <n v="8219.5"/>
    <n v="106853.5"/>
    <n v="66300"/>
    <n v="40553.5"/>
    <n v="38"/>
    <n v="0.06"/>
    <n v="6411.21"/>
  </r>
  <r>
    <s v="TXN-0507"/>
    <x v="1"/>
    <x v="1"/>
    <x v="6"/>
    <s v="Privado"/>
    <s v="Electrocardiógrafo"/>
    <s v="Diagnóstico"/>
    <s v="Rep_10"/>
    <n v="14"/>
    <n v="32000"/>
    <n v="19200"/>
    <n v="2.3E-2"/>
    <x v="0"/>
    <n v="3"/>
    <n v="31264"/>
    <n v="437696"/>
    <n v="268800"/>
    <n v="168896"/>
    <n v="38.6"/>
    <n v="0.06"/>
    <n v="26261.759999999998"/>
  </r>
  <r>
    <s v="TXN-0508"/>
    <x v="1"/>
    <x v="1"/>
    <x v="4"/>
    <s v="Público"/>
    <s v="Cama Hospitalaria"/>
    <s v="Mobiliario Clínico"/>
    <s v="Rep_10"/>
    <n v="1"/>
    <n v="22000"/>
    <n v="13200"/>
    <n v="0.125"/>
    <x v="0"/>
    <n v="33"/>
    <n v="19250"/>
    <n v="19250"/>
    <n v="13200"/>
    <n v="6050"/>
    <n v="31.4"/>
    <n v="2.5000000000000001E-2"/>
    <n v="481.25"/>
  </r>
  <r>
    <s v="TXN-0509"/>
    <x v="3"/>
    <x v="0"/>
    <x v="5"/>
    <s v="Público"/>
    <s v="Desfibrilador"/>
    <s v="Emergencias"/>
    <s v="Rep_02"/>
    <n v="1"/>
    <n v="95000"/>
    <n v="57000"/>
    <n v="4.8000000000000001E-2"/>
    <x v="0"/>
    <n v="3"/>
    <n v="90440"/>
    <n v="90440"/>
    <n v="57000"/>
    <n v="33440"/>
    <n v="37"/>
    <n v="2.5000000000000001E-2"/>
    <n v="2261"/>
  </r>
  <r>
    <s v="TXN-0510"/>
    <x v="3"/>
    <x v="2"/>
    <x v="4"/>
    <s v="Público"/>
    <s v="Desfibrilador"/>
    <s v="Emergencias"/>
    <s v="Rep_03"/>
    <n v="14"/>
    <n v="95000"/>
    <n v="57000"/>
    <n v="9.1999999999999998E-2"/>
    <x v="1"/>
    <n v="38"/>
    <n v="86260"/>
    <n v="1207640"/>
    <n v="798000"/>
    <n v="409640"/>
    <n v="33.9"/>
    <n v="2.5000000000000001E-2"/>
    <n v="30191"/>
  </r>
  <r>
    <s v="TXN-0511"/>
    <x v="3"/>
    <x v="1"/>
    <x v="2"/>
    <s v="Público"/>
    <s v="Cama Hospitalaria"/>
    <s v="Mobiliario Clínico"/>
    <s v="Rep_10"/>
    <n v="3"/>
    <n v="22000"/>
    <n v="13200"/>
    <n v="7.0000000000000007E-2"/>
    <x v="0"/>
    <n v="5"/>
    <n v="20460"/>
    <n v="61380"/>
    <n v="39600"/>
    <n v="21780"/>
    <n v="35.5"/>
    <n v="2.5000000000000001E-2"/>
    <n v="1534.5"/>
  </r>
  <r>
    <s v="TXN-0512"/>
    <x v="1"/>
    <x v="2"/>
    <x v="5"/>
    <s v="Público"/>
    <s v="Oxímetro Portátil"/>
    <s v="Diagnóstico"/>
    <s v="Rep_08"/>
    <n v="3"/>
    <n v="8500"/>
    <n v="5100"/>
    <n v="0.154"/>
    <x v="0"/>
    <n v="39"/>
    <n v="7191"/>
    <n v="21573"/>
    <n v="15300"/>
    <n v="6273"/>
    <n v="29.1"/>
    <n v="2.5000000000000001E-2"/>
    <n v="539.33000000000004"/>
  </r>
  <r>
    <s v="TXN-0513"/>
    <x v="0"/>
    <x v="3"/>
    <x v="1"/>
    <s v="Privado"/>
    <s v="Monitor de Signos"/>
    <s v="Equipo UCI"/>
    <s v="Rep_05"/>
    <n v="5"/>
    <n v="45000"/>
    <n v="27000"/>
    <n v="5.5E-2"/>
    <x v="1"/>
    <n v="36"/>
    <n v="42525"/>
    <n v="212625"/>
    <n v="135000"/>
    <n v="77625"/>
    <n v="36.5"/>
    <n v="0.06"/>
    <n v="12757.5"/>
  </r>
  <r>
    <s v="TXN-0514"/>
    <x v="2"/>
    <x v="3"/>
    <x v="5"/>
    <s v="Público"/>
    <s v="Oxímetro Portátil"/>
    <s v="Diagnóstico"/>
    <s v="Rep_02"/>
    <n v="9"/>
    <n v="8500"/>
    <n v="5100"/>
    <n v="5.1999999999999998E-2"/>
    <x v="0"/>
    <n v="30"/>
    <n v="8058"/>
    <n v="72522"/>
    <n v="45900"/>
    <n v="26622"/>
    <n v="36.700000000000003"/>
    <n v="2.5000000000000001E-2"/>
    <n v="1813.05"/>
  </r>
  <r>
    <s v="TXN-0515"/>
    <x v="3"/>
    <x v="1"/>
    <x v="4"/>
    <s v="Público"/>
    <s v="Cama Hospitalaria"/>
    <s v="Mobiliario Clínico"/>
    <s v="Rep_10"/>
    <n v="1"/>
    <n v="22000"/>
    <n v="13200"/>
    <n v="3.6999999999999998E-2"/>
    <x v="0"/>
    <n v="35"/>
    <n v="21186"/>
    <n v="21186"/>
    <n v="13200"/>
    <n v="7986"/>
    <n v="37.700000000000003"/>
    <n v="2.5000000000000001E-2"/>
    <n v="529.65"/>
  </r>
  <r>
    <s v="TXN-0516"/>
    <x v="1"/>
    <x v="3"/>
    <x v="5"/>
    <s v="Público"/>
    <s v="Silla de Ruedas Elec."/>
    <s v="Rehabilitación"/>
    <s v="Rep_01"/>
    <n v="2"/>
    <n v="35000"/>
    <n v="21000"/>
    <n v="0.126"/>
    <x v="1"/>
    <n v="19"/>
    <n v="30590"/>
    <n v="61180"/>
    <n v="42000"/>
    <n v="19180"/>
    <n v="31.4"/>
    <n v="2.5000000000000001E-2"/>
    <n v="1529.5"/>
  </r>
  <r>
    <s v="TXN-0517"/>
    <x v="2"/>
    <x v="3"/>
    <x v="2"/>
    <s v="Público"/>
    <s v="Electrocardiógrafo"/>
    <s v="Diagnóstico"/>
    <s v="Rep_06"/>
    <n v="3"/>
    <n v="32000"/>
    <n v="19200"/>
    <n v="6.3E-2"/>
    <x v="0"/>
    <n v="11"/>
    <n v="29984"/>
    <n v="89952"/>
    <n v="57600"/>
    <n v="32352"/>
    <n v="36"/>
    <n v="2.5000000000000001E-2"/>
    <n v="2248.8000000000002"/>
  </r>
  <r>
    <s v="TXN-0518"/>
    <x v="2"/>
    <x v="1"/>
    <x v="2"/>
    <s v="Público"/>
    <s v="Silla de Ruedas Elec."/>
    <s v="Rehabilitación"/>
    <s v="Rep_03"/>
    <n v="13"/>
    <n v="35000"/>
    <n v="21000"/>
    <n v="0.13900000000000001"/>
    <x v="1"/>
    <n v="41"/>
    <n v="30135"/>
    <n v="391755"/>
    <n v="273000"/>
    <n v="118755"/>
    <n v="30.3"/>
    <n v="2.5000000000000001E-2"/>
    <n v="9793.8799999999992"/>
  </r>
  <r>
    <s v="TXN-0519"/>
    <x v="2"/>
    <x v="0"/>
    <x v="5"/>
    <s v="Público"/>
    <s v="Bomba de Infusión"/>
    <s v="Medicación IV"/>
    <s v="Rep_10"/>
    <n v="12"/>
    <n v="28000"/>
    <n v="16800"/>
    <n v="0.151"/>
    <x v="1"/>
    <n v="8"/>
    <n v="23772"/>
    <n v="285264"/>
    <n v="201600"/>
    <n v="83664"/>
    <n v="29.3"/>
    <n v="2.5000000000000001E-2"/>
    <n v="7131.6"/>
  </r>
  <r>
    <s v="TXN-0520"/>
    <x v="2"/>
    <x v="0"/>
    <x v="6"/>
    <s v="Privado"/>
    <s v="Electrocardiógrafo"/>
    <s v="Diagnóstico"/>
    <s v="Rep_07"/>
    <n v="5"/>
    <n v="32000"/>
    <n v="19200"/>
    <n v="3.3000000000000002E-2"/>
    <x v="0"/>
    <n v="16"/>
    <n v="30944"/>
    <n v="154720"/>
    <n v="96000"/>
    <n v="58720"/>
    <n v="38"/>
    <n v="0.06"/>
    <n v="9283.2000000000007"/>
  </r>
  <r>
    <s v="TXN-0521"/>
    <x v="2"/>
    <x v="2"/>
    <x v="0"/>
    <s v="Privado"/>
    <s v="Bomba de Infusión"/>
    <s v="Medicación IV"/>
    <s v="Rep_10"/>
    <n v="10"/>
    <n v="28000"/>
    <n v="16800"/>
    <n v="1.4E-2"/>
    <x v="1"/>
    <n v="5"/>
    <n v="27608"/>
    <n v="276080"/>
    <n v="168000"/>
    <n v="108080"/>
    <n v="39.1"/>
    <n v="0.06"/>
    <n v="16564.8"/>
  </r>
  <r>
    <s v="TXN-0522"/>
    <x v="3"/>
    <x v="3"/>
    <x v="4"/>
    <s v="Público"/>
    <s v="Electrocardiógrafo"/>
    <s v="Diagnóstico"/>
    <s v="Rep_03"/>
    <n v="7"/>
    <n v="32000"/>
    <n v="19200"/>
    <n v="0.161"/>
    <x v="0"/>
    <n v="5"/>
    <n v="26848"/>
    <n v="187936"/>
    <n v="134400"/>
    <n v="53536"/>
    <n v="28.5"/>
    <n v="2.5000000000000001E-2"/>
    <n v="4698.3999999999996"/>
  </r>
  <r>
    <s v="TXN-0523"/>
    <x v="0"/>
    <x v="0"/>
    <x v="5"/>
    <s v="Público"/>
    <s v="Oxímetro Portátil"/>
    <s v="Diagnóstico"/>
    <s v="Rep_04"/>
    <n v="12"/>
    <n v="8500"/>
    <n v="5100"/>
    <n v="0.11"/>
    <x v="0"/>
    <n v="33"/>
    <n v="7565"/>
    <n v="90780"/>
    <n v="61200"/>
    <n v="29580"/>
    <n v="32.6"/>
    <n v="2.5000000000000001E-2"/>
    <n v="2269.5"/>
  </r>
  <r>
    <s v="TXN-0524"/>
    <x v="0"/>
    <x v="1"/>
    <x v="1"/>
    <s v="Privado"/>
    <s v="Bomba de Infusión"/>
    <s v="Medicación IV"/>
    <s v="Rep_02"/>
    <n v="10"/>
    <n v="28000"/>
    <n v="16800"/>
    <n v="3.3000000000000002E-2"/>
    <x v="0"/>
    <n v="34"/>
    <n v="27076"/>
    <n v="270760"/>
    <n v="168000"/>
    <n v="102760"/>
    <n v="38"/>
    <n v="0.06"/>
    <n v="16245.6"/>
  </r>
  <r>
    <s v="TXN-0525"/>
    <x v="3"/>
    <x v="3"/>
    <x v="3"/>
    <s v="Privado"/>
    <s v="Electrocardiógrafo"/>
    <s v="Diagnóstico"/>
    <s v="Rep_01"/>
    <n v="5"/>
    <n v="32000"/>
    <n v="19200"/>
    <n v="4.8000000000000001E-2"/>
    <x v="0"/>
    <n v="39"/>
    <n v="30464"/>
    <n v="152320"/>
    <n v="96000"/>
    <n v="56320"/>
    <n v="37"/>
    <n v="0.06"/>
    <n v="9139.2000000000007"/>
  </r>
  <r>
    <s v="TXN-0526"/>
    <x v="2"/>
    <x v="1"/>
    <x v="5"/>
    <s v="Público"/>
    <s v="Ventilador Mecánico"/>
    <s v="Equipo UCI"/>
    <s v="Rep_03"/>
    <n v="7"/>
    <n v="180000"/>
    <n v="108000"/>
    <n v="0.154"/>
    <x v="0"/>
    <n v="5"/>
    <n v="152280"/>
    <n v="1065960"/>
    <n v="756000"/>
    <n v="309960"/>
    <n v="29.1"/>
    <n v="2.5000000000000001E-2"/>
    <n v="26649"/>
  </r>
  <r>
    <s v="TXN-0527"/>
    <x v="1"/>
    <x v="1"/>
    <x v="1"/>
    <s v="Privado"/>
    <s v="Bomba de Infusión"/>
    <s v="Medicación IV"/>
    <s v="Rep_07"/>
    <n v="5"/>
    <n v="28000"/>
    <n v="16800"/>
    <n v="1E-3"/>
    <x v="0"/>
    <n v="8"/>
    <n v="27972"/>
    <n v="139860"/>
    <n v="84000"/>
    <n v="55860"/>
    <n v="39.9"/>
    <n v="0.06"/>
    <n v="8391.6"/>
  </r>
  <r>
    <s v="TXN-0528"/>
    <x v="1"/>
    <x v="3"/>
    <x v="5"/>
    <s v="Público"/>
    <s v="Electrocardiógrafo"/>
    <s v="Diagnóstico"/>
    <s v="Rep_02"/>
    <n v="9"/>
    <n v="32000"/>
    <n v="19200"/>
    <n v="4.1000000000000002E-2"/>
    <x v="0"/>
    <n v="33"/>
    <n v="30688"/>
    <n v="276192"/>
    <n v="172800"/>
    <n v="103392"/>
    <n v="37.4"/>
    <n v="2.5000000000000001E-2"/>
    <n v="6904.8"/>
  </r>
  <r>
    <s v="TXN-0529"/>
    <x v="0"/>
    <x v="2"/>
    <x v="4"/>
    <s v="Público"/>
    <s v="Bomba de Infusión"/>
    <s v="Medicación IV"/>
    <s v="Rep_10"/>
    <n v="7"/>
    <n v="28000"/>
    <n v="16800"/>
    <n v="3.6999999999999998E-2"/>
    <x v="0"/>
    <n v="15"/>
    <n v="26964"/>
    <n v="188748"/>
    <n v="117600"/>
    <n v="71148"/>
    <n v="37.700000000000003"/>
    <n v="2.5000000000000001E-2"/>
    <n v="4718.7"/>
  </r>
  <r>
    <s v="TXN-0530"/>
    <x v="3"/>
    <x v="1"/>
    <x v="3"/>
    <s v="Privado"/>
    <s v="Bomba de Infusión"/>
    <s v="Medicación IV"/>
    <s v="Rep_06"/>
    <n v="9"/>
    <n v="28000"/>
    <n v="16800"/>
    <n v="5.2999999999999999E-2"/>
    <x v="1"/>
    <n v="22"/>
    <n v="26516"/>
    <n v="238644"/>
    <n v="151200"/>
    <n v="87444"/>
    <n v="36.6"/>
    <n v="0.06"/>
    <n v="14318.64"/>
  </r>
  <r>
    <s v="TXN-0531"/>
    <x v="1"/>
    <x v="4"/>
    <x v="2"/>
    <s v="Público"/>
    <s v="Silla de Ruedas Elec."/>
    <s v="Rehabilitación"/>
    <s v="Rep_02"/>
    <n v="3"/>
    <n v="35000"/>
    <n v="21000"/>
    <n v="0.01"/>
    <x v="1"/>
    <n v="4"/>
    <n v="34650"/>
    <n v="103950"/>
    <n v="63000"/>
    <n v="40950"/>
    <n v="39.4"/>
    <n v="2.5000000000000001E-2"/>
    <n v="2598.75"/>
  </r>
  <r>
    <s v="TXN-0532"/>
    <x v="0"/>
    <x v="3"/>
    <x v="3"/>
    <s v="Privado"/>
    <s v="Ventilador Mecánico"/>
    <s v="Equipo UCI"/>
    <s v="Rep_09"/>
    <n v="9"/>
    <n v="180000"/>
    <n v="108000"/>
    <n v="0"/>
    <x v="1"/>
    <n v="33"/>
    <n v="180000"/>
    <n v="1620000"/>
    <n v="972000"/>
    <n v="648000"/>
    <n v="40"/>
    <n v="0.06"/>
    <n v="97200"/>
  </r>
  <r>
    <s v="TXN-0533"/>
    <x v="0"/>
    <x v="0"/>
    <x v="2"/>
    <s v="Público"/>
    <s v="Oxímetro Portátil"/>
    <s v="Diagnóstico"/>
    <s v="Rep_05"/>
    <n v="10"/>
    <n v="8500"/>
    <n v="5100"/>
    <n v="4.2000000000000003E-2"/>
    <x v="0"/>
    <n v="12"/>
    <n v="8143"/>
    <n v="81430"/>
    <n v="51000"/>
    <n v="30430"/>
    <n v="37.4"/>
    <n v="2.5000000000000001E-2"/>
    <n v="2035.75"/>
  </r>
  <r>
    <s v="TXN-0534"/>
    <x v="0"/>
    <x v="0"/>
    <x v="4"/>
    <s v="Público"/>
    <s v="Monitor de Signos"/>
    <s v="Equipo UCI"/>
    <s v="Rep_05"/>
    <n v="6"/>
    <n v="45000"/>
    <n v="27000"/>
    <n v="0.16800000000000001"/>
    <x v="0"/>
    <n v="21"/>
    <n v="37440"/>
    <n v="224640"/>
    <n v="162000"/>
    <n v="62640"/>
    <n v="27.9"/>
    <n v="2.5000000000000001E-2"/>
    <n v="5616"/>
  </r>
  <r>
    <s v="TXN-0535"/>
    <x v="3"/>
    <x v="3"/>
    <x v="2"/>
    <s v="Público"/>
    <s v="Cama Hospitalaria"/>
    <s v="Mobiliario Clínico"/>
    <s v="Rep_01"/>
    <n v="1"/>
    <n v="22000"/>
    <n v="13200"/>
    <n v="8.3000000000000004E-2"/>
    <x v="0"/>
    <n v="21"/>
    <n v="20174"/>
    <n v="20174"/>
    <n v="13200"/>
    <n v="6974"/>
    <n v="34.6"/>
    <n v="2.5000000000000001E-2"/>
    <n v="504.35"/>
  </r>
  <r>
    <s v="TXN-0536"/>
    <x v="2"/>
    <x v="3"/>
    <x v="5"/>
    <s v="Público"/>
    <s v="Oxímetro Portátil"/>
    <s v="Diagnóstico"/>
    <s v="Rep_01"/>
    <n v="1"/>
    <n v="8500"/>
    <n v="5100"/>
    <n v="9.1999999999999998E-2"/>
    <x v="0"/>
    <n v="26"/>
    <n v="7718"/>
    <n v="7718"/>
    <n v="5100"/>
    <n v="2618"/>
    <n v="33.9"/>
    <n v="2.5000000000000001E-2"/>
    <n v="192.95"/>
  </r>
  <r>
    <s v="TXN-0537"/>
    <x v="0"/>
    <x v="3"/>
    <x v="5"/>
    <s v="Público"/>
    <s v="Oxímetro Portátil"/>
    <s v="Diagnóstico"/>
    <s v="Rep_05"/>
    <n v="1"/>
    <n v="8500"/>
    <n v="5100"/>
    <n v="8.1000000000000003E-2"/>
    <x v="1"/>
    <n v="43"/>
    <n v="7811.5"/>
    <n v="7811.5"/>
    <n v="5100"/>
    <n v="2711.5"/>
    <n v="34.700000000000003"/>
    <n v="2.5000000000000001E-2"/>
    <n v="195.29"/>
  </r>
  <r>
    <s v="TXN-0538"/>
    <x v="0"/>
    <x v="4"/>
    <x v="5"/>
    <s v="Público"/>
    <s v="Bomba de Infusión"/>
    <s v="Medicación IV"/>
    <s v="Rep_09"/>
    <n v="5"/>
    <n v="28000"/>
    <n v="16800"/>
    <n v="9.8000000000000004E-2"/>
    <x v="1"/>
    <n v="18"/>
    <n v="25256"/>
    <n v="126280"/>
    <n v="84000"/>
    <n v="42280"/>
    <n v="33.5"/>
    <n v="2.5000000000000001E-2"/>
    <n v="3157"/>
  </r>
  <r>
    <s v="TXN-0539"/>
    <x v="1"/>
    <x v="0"/>
    <x v="3"/>
    <s v="Privado"/>
    <s v="Ventilador Mecánico"/>
    <s v="Equipo UCI"/>
    <s v="Rep_05"/>
    <n v="5"/>
    <n v="180000"/>
    <n v="108000"/>
    <n v="6.7000000000000004E-2"/>
    <x v="1"/>
    <n v="10"/>
    <n v="167940"/>
    <n v="839700"/>
    <n v="540000"/>
    <n v="299700"/>
    <n v="35.700000000000003"/>
    <n v="0.06"/>
    <n v="50382"/>
  </r>
  <r>
    <s v="TXN-0540"/>
    <x v="2"/>
    <x v="2"/>
    <x v="3"/>
    <s v="Privado"/>
    <s v="Silla de Ruedas Elec."/>
    <s v="Rehabilitación"/>
    <s v="Rep_02"/>
    <n v="13"/>
    <n v="35000"/>
    <n v="21000"/>
    <n v="7.4999999999999997E-2"/>
    <x v="0"/>
    <n v="41"/>
    <n v="32375"/>
    <n v="420875"/>
    <n v="273000"/>
    <n v="147875"/>
    <n v="35.1"/>
    <n v="0.06"/>
    <n v="25252.5"/>
  </r>
  <r>
    <s v="TXN-0541"/>
    <x v="1"/>
    <x v="0"/>
    <x v="0"/>
    <s v="Privado"/>
    <s v="Desfibrilador"/>
    <s v="Emergencias"/>
    <s v="Rep_09"/>
    <n v="14"/>
    <n v="95000"/>
    <n v="57000"/>
    <n v="2.5999999999999999E-2"/>
    <x v="0"/>
    <n v="21"/>
    <n v="92530"/>
    <n v="1295420"/>
    <n v="798000"/>
    <n v="497420"/>
    <n v="38.4"/>
    <n v="0.06"/>
    <n v="77725.2"/>
  </r>
  <r>
    <s v="TXN-0542"/>
    <x v="3"/>
    <x v="0"/>
    <x v="3"/>
    <s v="Privado"/>
    <s v="Electrocardiógrafo"/>
    <s v="Diagnóstico"/>
    <s v="Rep_01"/>
    <n v="3"/>
    <n v="32000"/>
    <n v="19200"/>
    <n v="3.7999999999999999E-2"/>
    <x v="1"/>
    <n v="29"/>
    <n v="30784"/>
    <n v="92352"/>
    <n v="57600"/>
    <n v="34752"/>
    <n v="37.6"/>
    <n v="0.06"/>
    <n v="5541.12"/>
  </r>
  <r>
    <s v="TXN-0543"/>
    <x v="3"/>
    <x v="1"/>
    <x v="1"/>
    <s v="Privado"/>
    <s v="Electrocardiógrafo"/>
    <s v="Diagnóstico"/>
    <s v="Rep_04"/>
    <n v="12"/>
    <n v="32000"/>
    <n v="19200"/>
    <n v="9.6000000000000002E-2"/>
    <x v="0"/>
    <n v="12"/>
    <n v="28928"/>
    <n v="347136"/>
    <n v="230400"/>
    <n v="116736"/>
    <n v="33.6"/>
    <n v="0.06"/>
    <n v="20828.16"/>
  </r>
  <r>
    <s v="TXN-0544"/>
    <x v="3"/>
    <x v="1"/>
    <x v="3"/>
    <s v="Privado"/>
    <s v="Silla de Ruedas Elec."/>
    <s v="Rehabilitación"/>
    <s v="Rep_02"/>
    <n v="4"/>
    <n v="35000"/>
    <n v="21000"/>
    <n v="3.7999999999999999E-2"/>
    <x v="1"/>
    <n v="10"/>
    <n v="33670"/>
    <n v="134680"/>
    <n v="84000"/>
    <n v="50680"/>
    <n v="37.6"/>
    <n v="0.06"/>
    <n v="8080.8"/>
  </r>
  <r>
    <s v="TXN-0545"/>
    <x v="1"/>
    <x v="0"/>
    <x v="1"/>
    <s v="Privado"/>
    <s v="Desfibrilador"/>
    <s v="Emergencias"/>
    <s v="Rep_07"/>
    <n v="10"/>
    <n v="95000"/>
    <n v="57000"/>
    <n v="7.6999999999999999E-2"/>
    <x v="1"/>
    <n v="4"/>
    <n v="87685"/>
    <n v="876850"/>
    <n v="570000"/>
    <n v="306850"/>
    <n v="35"/>
    <n v="0.06"/>
    <n v="52611"/>
  </r>
  <r>
    <s v="TXN-0546"/>
    <x v="1"/>
    <x v="3"/>
    <x v="1"/>
    <s v="Privado"/>
    <s v="Desfibrilador"/>
    <s v="Emergencias"/>
    <s v="Rep_04"/>
    <n v="10"/>
    <n v="95000"/>
    <n v="57000"/>
    <n v="3.5999999999999997E-2"/>
    <x v="0"/>
    <n v="44"/>
    <n v="91580"/>
    <n v="915800"/>
    <n v="570000"/>
    <n v="345800"/>
    <n v="37.799999999999997"/>
    <n v="0.06"/>
    <n v="54948"/>
  </r>
  <r>
    <s v="TXN-0547"/>
    <x v="2"/>
    <x v="2"/>
    <x v="4"/>
    <s v="Público"/>
    <s v="Monitor de Signos"/>
    <s v="Equipo UCI"/>
    <s v="Rep_07"/>
    <n v="7"/>
    <n v="45000"/>
    <n v="27000"/>
    <n v="0.12"/>
    <x v="0"/>
    <n v="4"/>
    <n v="39600"/>
    <n v="277200"/>
    <n v="189000"/>
    <n v="88200"/>
    <n v="31.8"/>
    <n v="2.5000000000000001E-2"/>
    <n v="6930"/>
  </r>
  <r>
    <s v="TXN-0548"/>
    <x v="1"/>
    <x v="4"/>
    <x v="5"/>
    <s v="Público"/>
    <s v="Electrocardiógrafo"/>
    <s v="Diagnóstico"/>
    <s v="Rep_01"/>
    <n v="10"/>
    <n v="32000"/>
    <n v="19200"/>
    <n v="0.13600000000000001"/>
    <x v="0"/>
    <n v="12"/>
    <n v="27648"/>
    <n v="276480"/>
    <n v="192000"/>
    <n v="84480"/>
    <n v="30.6"/>
    <n v="2.5000000000000001E-2"/>
    <n v="6912"/>
  </r>
  <r>
    <s v="TXN-0549"/>
    <x v="1"/>
    <x v="1"/>
    <x v="1"/>
    <s v="Privado"/>
    <s v="Cama Hospitalaria"/>
    <s v="Mobiliario Clínico"/>
    <s v="Rep_06"/>
    <n v="5"/>
    <n v="22000"/>
    <n v="13200"/>
    <n v="0.02"/>
    <x v="1"/>
    <n v="33"/>
    <n v="21560"/>
    <n v="107800"/>
    <n v="66000"/>
    <n v="41800"/>
    <n v="38.799999999999997"/>
    <n v="0.06"/>
    <n v="6468"/>
  </r>
  <r>
    <s v="TXN-0550"/>
    <x v="1"/>
    <x v="4"/>
    <x v="3"/>
    <s v="Privado"/>
    <s v="Cama Hospitalaria"/>
    <s v="Mobiliario Clínico"/>
    <s v="Rep_02"/>
    <n v="10"/>
    <n v="22000"/>
    <n v="13200"/>
    <n v="0.02"/>
    <x v="0"/>
    <n v="19"/>
    <n v="21560"/>
    <n v="215600"/>
    <n v="132000"/>
    <n v="83600"/>
    <n v="38.799999999999997"/>
    <n v="0.06"/>
    <n v="12936"/>
  </r>
  <r>
    <s v="TXN-0551"/>
    <x v="3"/>
    <x v="4"/>
    <x v="1"/>
    <s v="Privado"/>
    <s v="Electrocardiógrafo"/>
    <s v="Diagnóstico"/>
    <s v="Rep_03"/>
    <n v="7"/>
    <n v="32000"/>
    <n v="19200"/>
    <n v="1.7999999999999999E-2"/>
    <x v="0"/>
    <n v="34"/>
    <n v="31424"/>
    <n v="219968"/>
    <n v="134400"/>
    <n v="85568"/>
    <n v="38.9"/>
    <n v="0.06"/>
    <n v="13198.08"/>
  </r>
  <r>
    <s v="TXN-0552"/>
    <x v="2"/>
    <x v="1"/>
    <x v="6"/>
    <s v="Privado"/>
    <s v="Oxímetro Portátil"/>
    <s v="Diagnóstico"/>
    <s v="Rep_05"/>
    <n v="9"/>
    <n v="8500"/>
    <n v="5100"/>
    <n v="5.2999999999999999E-2"/>
    <x v="1"/>
    <n v="24"/>
    <n v="8049.5"/>
    <n v="72445.5"/>
    <n v="45900"/>
    <n v="26545.5"/>
    <n v="36.6"/>
    <n v="0.06"/>
    <n v="4346.7299999999996"/>
  </r>
  <r>
    <s v="TXN-0553"/>
    <x v="0"/>
    <x v="2"/>
    <x v="3"/>
    <s v="Privado"/>
    <s v="Bomba de Infusión"/>
    <s v="Medicación IV"/>
    <s v="Rep_08"/>
    <n v="1"/>
    <n v="28000"/>
    <n v="16800"/>
    <n v="5.8000000000000003E-2"/>
    <x v="0"/>
    <n v="37"/>
    <n v="26376"/>
    <n v="26376"/>
    <n v="16800"/>
    <n v="9576"/>
    <n v="36.299999999999997"/>
    <n v="0.06"/>
    <n v="1582.56"/>
  </r>
  <r>
    <s v="TXN-0554"/>
    <x v="3"/>
    <x v="3"/>
    <x v="3"/>
    <s v="Privado"/>
    <s v="Desfibrilador"/>
    <s v="Emergencias"/>
    <s v="Rep_05"/>
    <n v="11"/>
    <n v="95000"/>
    <n v="57000"/>
    <n v="3.4000000000000002E-2"/>
    <x v="0"/>
    <n v="44"/>
    <n v="91770"/>
    <n v="1009470"/>
    <n v="627000"/>
    <n v="382470"/>
    <n v="37.9"/>
    <n v="0.06"/>
    <n v="60568.2"/>
  </r>
  <r>
    <s v="TXN-0555"/>
    <x v="2"/>
    <x v="1"/>
    <x v="4"/>
    <s v="Público"/>
    <s v="Monitor de Signos"/>
    <s v="Equipo UCI"/>
    <s v="Rep_09"/>
    <n v="11"/>
    <n v="45000"/>
    <n v="27000"/>
    <n v="0.14000000000000001"/>
    <x v="0"/>
    <n v="22"/>
    <n v="38700"/>
    <n v="425700"/>
    <n v="297000"/>
    <n v="128700"/>
    <n v="30.2"/>
    <n v="2.5000000000000001E-2"/>
    <n v="10642.5"/>
  </r>
  <r>
    <s v="TXN-0556"/>
    <x v="3"/>
    <x v="0"/>
    <x v="5"/>
    <s v="Público"/>
    <s v="Ventilador Mecánico"/>
    <s v="Equipo UCI"/>
    <s v="Rep_10"/>
    <n v="11"/>
    <n v="180000"/>
    <n v="108000"/>
    <n v="0.01"/>
    <x v="0"/>
    <n v="27"/>
    <n v="178200"/>
    <n v="1960200"/>
    <n v="1188000"/>
    <n v="772200"/>
    <n v="39.4"/>
    <n v="2.5000000000000001E-2"/>
    <n v="49005"/>
  </r>
  <r>
    <s v="TXN-0557"/>
    <x v="0"/>
    <x v="1"/>
    <x v="0"/>
    <s v="Privado"/>
    <s v="Electrocardiógrafo"/>
    <s v="Diagnóstico"/>
    <s v="Rep_08"/>
    <n v="12"/>
    <n v="32000"/>
    <n v="19200"/>
    <n v="8.2000000000000003E-2"/>
    <x v="0"/>
    <n v="22"/>
    <n v="29376"/>
    <n v="352512"/>
    <n v="230400"/>
    <n v="122112"/>
    <n v="34.6"/>
    <n v="0.06"/>
    <n v="21150.720000000001"/>
  </r>
  <r>
    <s v="TXN-0558"/>
    <x v="3"/>
    <x v="3"/>
    <x v="3"/>
    <s v="Privado"/>
    <s v="Silla de Ruedas Elec."/>
    <s v="Rehabilitación"/>
    <s v="Rep_02"/>
    <n v="4"/>
    <n v="35000"/>
    <n v="21000"/>
    <n v="4.8000000000000001E-2"/>
    <x v="0"/>
    <n v="32"/>
    <n v="33320"/>
    <n v="133280"/>
    <n v="84000"/>
    <n v="49280"/>
    <n v="37"/>
    <n v="0.06"/>
    <n v="7996.8"/>
  </r>
  <r>
    <s v="TXN-0559"/>
    <x v="1"/>
    <x v="1"/>
    <x v="5"/>
    <s v="Público"/>
    <s v="Bomba de Infusión"/>
    <s v="Medicación IV"/>
    <s v="Rep_04"/>
    <n v="1"/>
    <n v="28000"/>
    <n v="16800"/>
    <n v="0.16300000000000001"/>
    <x v="0"/>
    <n v="17"/>
    <n v="23436"/>
    <n v="23436"/>
    <n v="16800"/>
    <n v="6636"/>
    <n v="28.3"/>
    <n v="2.5000000000000001E-2"/>
    <n v="585.9"/>
  </r>
  <r>
    <s v="TXN-0560"/>
    <x v="3"/>
    <x v="3"/>
    <x v="1"/>
    <s v="Privado"/>
    <s v="Silla de Ruedas Elec."/>
    <s v="Rehabilitación"/>
    <s v="Rep_10"/>
    <n v="10"/>
    <n v="35000"/>
    <n v="21000"/>
    <n v="8.6999999999999994E-2"/>
    <x v="0"/>
    <n v="42"/>
    <n v="31955"/>
    <n v="319550"/>
    <n v="210000"/>
    <n v="109550"/>
    <n v="34.299999999999997"/>
    <n v="0.06"/>
    <n v="19173"/>
  </r>
  <r>
    <s v="TXN-0561"/>
    <x v="3"/>
    <x v="2"/>
    <x v="4"/>
    <s v="Público"/>
    <s v="Monitor de Signos"/>
    <s v="Equipo UCI"/>
    <s v="Rep_07"/>
    <n v="5"/>
    <n v="45000"/>
    <n v="27000"/>
    <n v="0.03"/>
    <x v="0"/>
    <n v="3"/>
    <n v="43650"/>
    <n v="218250"/>
    <n v="135000"/>
    <n v="83250"/>
    <n v="38.1"/>
    <n v="2.5000000000000001E-2"/>
    <n v="5456.25"/>
  </r>
  <r>
    <s v="TXN-0562"/>
    <x v="3"/>
    <x v="3"/>
    <x v="5"/>
    <s v="Público"/>
    <s v="Silla de Ruedas Elec."/>
    <s v="Rehabilitación"/>
    <s v="Rep_05"/>
    <n v="10"/>
    <n v="35000"/>
    <n v="21000"/>
    <n v="0.14000000000000001"/>
    <x v="1"/>
    <n v="3"/>
    <n v="30100"/>
    <n v="301000"/>
    <n v="210000"/>
    <n v="91000"/>
    <n v="30.2"/>
    <n v="2.5000000000000001E-2"/>
    <n v="7525"/>
  </r>
  <r>
    <s v="TXN-0563"/>
    <x v="1"/>
    <x v="2"/>
    <x v="5"/>
    <s v="Público"/>
    <s v="Silla de Ruedas Elec."/>
    <s v="Rehabilitación"/>
    <s v="Rep_02"/>
    <n v="6"/>
    <n v="35000"/>
    <n v="21000"/>
    <n v="0.112"/>
    <x v="0"/>
    <n v="40"/>
    <n v="31080"/>
    <n v="186480"/>
    <n v="126000"/>
    <n v="60480"/>
    <n v="32.4"/>
    <n v="2.5000000000000001E-2"/>
    <n v="4662"/>
  </r>
  <r>
    <s v="TXN-0564"/>
    <x v="2"/>
    <x v="1"/>
    <x v="0"/>
    <s v="Privado"/>
    <s v="Silla de Ruedas Elec."/>
    <s v="Rehabilitación"/>
    <s v="Rep_02"/>
    <n v="8"/>
    <n v="35000"/>
    <n v="21000"/>
    <n v="2.1000000000000001E-2"/>
    <x v="0"/>
    <n v="16"/>
    <n v="34265"/>
    <n v="274120"/>
    <n v="168000"/>
    <n v="106120"/>
    <n v="38.700000000000003"/>
    <n v="0.06"/>
    <n v="16447.2"/>
  </r>
  <r>
    <s v="TXN-0565"/>
    <x v="3"/>
    <x v="1"/>
    <x v="4"/>
    <s v="Público"/>
    <s v="Silla de Ruedas Elec."/>
    <s v="Rehabilitación"/>
    <s v="Rep_02"/>
    <n v="14"/>
    <n v="35000"/>
    <n v="21000"/>
    <n v="0.08"/>
    <x v="0"/>
    <n v="41"/>
    <n v="32200"/>
    <n v="450800"/>
    <n v="294000"/>
    <n v="156800"/>
    <n v="34.799999999999997"/>
    <n v="2.5000000000000001E-2"/>
    <n v="11270"/>
  </r>
  <r>
    <s v="TXN-0566"/>
    <x v="0"/>
    <x v="3"/>
    <x v="5"/>
    <s v="Público"/>
    <s v="Silla de Ruedas Elec."/>
    <s v="Rehabilitación"/>
    <s v="Rep_03"/>
    <n v="8"/>
    <n v="35000"/>
    <n v="21000"/>
    <n v="6.9000000000000006E-2"/>
    <x v="0"/>
    <n v="4"/>
    <n v="32585"/>
    <n v="260680"/>
    <n v="168000"/>
    <n v="92680"/>
    <n v="35.6"/>
    <n v="2.5000000000000001E-2"/>
    <n v="6517"/>
  </r>
  <r>
    <s v="TXN-0567"/>
    <x v="0"/>
    <x v="2"/>
    <x v="5"/>
    <s v="Público"/>
    <s v="Monitor de Signos"/>
    <s v="Equipo UCI"/>
    <s v="Rep_10"/>
    <n v="7"/>
    <n v="45000"/>
    <n v="27000"/>
    <n v="6.2E-2"/>
    <x v="0"/>
    <n v="16"/>
    <n v="42210"/>
    <n v="295470"/>
    <n v="189000"/>
    <n v="106470"/>
    <n v="36"/>
    <n v="2.5000000000000001E-2"/>
    <n v="7386.75"/>
  </r>
  <r>
    <s v="TXN-0568"/>
    <x v="3"/>
    <x v="2"/>
    <x v="5"/>
    <s v="Público"/>
    <s v="Desfibrilador"/>
    <s v="Emergencias"/>
    <s v="Rep_08"/>
    <n v="3"/>
    <n v="95000"/>
    <n v="57000"/>
    <n v="0.13600000000000001"/>
    <x v="0"/>
    <n v="5"/>
    <n v="82080"/>
    <n v="246240"/>
    <n v="171000"/>
    <n v="75240"/>
    <n v="30.6"/>
    <n v="2.5000000000000001E-2"/>
    <n v="6156"/>
  </r>
  <r>
    <s v="TXN-0569"/>
    <x v="0"/>
    <x v="3"/>
    <x v="6"/>
    <s v="Privado"/>
    <s v="Silla de Ruedas Elec."/>
    <s v="Rehabilitación"/>
    <s v="Rep_01"/>
    <n v="12"/>
    <n v="35000"/>
    <n v="21000"/>
    <n v="6.0000000000000001E-3"/>
    <x v="0"/>
    <n v="28"/>
    <n v="34790"/>
    <n v="417480"/>
    <n v="252000"/>
    <n v="165480"/>
    <n v="39.6"/>
    <n v="0.06"/>
    <n v="25048.799999999999"/>
  </r>
  <r>
    <s v="TXN-0570"/>
    <x v="1"/>
    <x v="1"/>
    <x v="5"/>
    <s v="Público"/>
    <s v="Electrocardiógrafo"/>
    <s v="Diagnóstico"/>
    <s v="Rep_09"/>
    <n v="14"/>
    <n v="32000"/>
    <n v="19200"/>
    <n v="0.191"/>
    <x v="0"/>
    <n v="12"/>
    <n v="25888"/>
    <n v="362432"/>
    <n v="268800"/>
    <n v="93632"/>
    <n v="25.8"/>
    <n v="2.5000000000000001E-2"/>
    <n v="9060.7999999999993"/>
  </r>
  <r>
    <s v="TXN-0571"/>
    <x v="2"/>
    <x v="0"/>
    <x v="6"/>
    <s v="Privado"/>
    <s v="Electrocardiógrafo"/>
    <s v="Diagnóstico"/>
    <s v="Rep_04"/>
    <n v="12"/>
    <n v="32000"/>
    <n v="19200"/>
    <n v="3.2000000000000001E-2"/>
    <x v="1"/>
    <n v="35"/>
    <n v="30976"/>
    <n v="371712"/>
    <n v="230400"/>
    <n v="141312"/>
    <n v="38"/>
    <n v="0.06"/>
    <n v="22302.720000000001"/>
  </r>
  <r>
    <s v="TXN-0572"/>
    <x v="0"/>
    <x v="3"/>
    <x v="5"/>
    <s v="Público"/>
    <s v="Silla de Ruedas Elec."/>
    <s v="Rehabilitación"/>
    <s v="Rep_08"/>
    <n v="6"/>
    <n v="35000"/>
    <n v="21000"/>
    <n v="3.4000000000000002E-2"/>
    <x v="1"/>
    <n v="28"/>
    <n v="33810"/>
    <n v="202860"/>
    <n v="126000"/>
    <n v="76860"/>
    <n v="37.9"/>
    <n v="2.5000000000000001E-2"/>
    <n v="5071.5"/>
  </r>
  <r>
    <s v="TXN-0573"/>
    <x v="0"/>
    <x v="0"/>
    <x v="3"/>
    <s v="Privado"/>
    <s v="Cama Hospitalaria"/>
    <s v="Mobiliario Clínico"/>
    <s v="Rep_05"/>
    <n v="6"/>
    <n v="22000"/>
    <n v="13200"/>
    <n v="2E-3"/>
    <x v="0"/>
    <n v="19"/>
    <n v="21956"/>
    <n v="131736"/>
    <n v="79200"/>
    <n v="52536"/>
    <n v="39.9"/>
    <n v="0.06"/>
    <n v="7904.16"/>
  </r>
  <r>
    <s v="TXN-0574"/>
    <x v="0"/>
    <x v="2"/>
    <x v="2"/>
    <s v="Público"/>
    <s v="Bomba de Infusión"/>
    <s v="Medicación IV"/>
    <s v="Rep_04"/>
    <n v="1"/>
    <n v="28000"/>
    <n v="16800"/>
    <n v="0.17299999999999999"/>
    <x v="0"/>
    <n v="36"/>
    <n v="23156"/>
    <n v="23156"/>
    <n v="16800"/>
    <n v="6356"/>
    <n v="27.4"/>
    <n v="2.5000000000000001E-2"/>
    <n v="578.9"/>
  </r>
  <r>
    <s v="TXN-0575"/>
    <x v="3"/>
    <x v="1"/>
    <x v="3"/>
    <s v="Privado"/>
    <s v="Cama Hospitalaria"/>
    <s v="Mobiliario Clínico"/>
    <s v="Rep_03"/>
    <n v="7"/>
    <n v="22000"/>
    <n v="13200"/>
    <n v="8.9999999999999993E-3"/>
    <x v="0"/>
    <n v="13"/>
    <n v="21802"/>
    <n v="152614"/>
    <n v="92400"/>
    <n v="60214"/>
    <n v="39.5"/>
    <n v="0.06"/>
    <n v="9156.84"/>
  </r>
  <r>
    <s v="TXN-0576"/>
    <x v="3"/>
    <x v="1"/>
    <x v="1"/>
    <s v="Privado"/>
    <s v="Desfibrilador"/>
    <s v="Emergencias"/>
    <s v="Rep_05"/>
    <n v="13"/>
    <n v="95000"/>
    <n v="57000"/>
    <n v="1.4999999999999999E-2"/>
    <x v="1"/>
    <n v="12"/>
    <n v="93575"/>
    <n v="1216475"/>
    <n v="741000"/>
    <n v="475475"/>
    <n v="39.1"/>
    <n v="0.06"/>
    <n v="72988.5"/>
  </r>
  <r>
    <s v="TXN-0577"/>
    <x v="2"/>
    <x v="0"/>
    <x v="5"/>
    <s v="Público"/>
    <s v="Oxímetro Portátil"/>
    <s v="Diagnóstico"/>
    <s v="Rep_09"/>
    <n v="14"/>
    <n v="8500"/>
    <n v="5100"/>
    <n v="9.7000000000000003E-2"/>
    <x v="0"/>
    <n v="13"/>
    <n v="7675.5"/>
    <n v="107457"/>
    <n v="71400"/>
    <n v="36057"/>
    <n v="33.6"/>
    <n v="2.5000000000000001E-2"/>
    <n v="2686.42"/>
  </r>
  <r>
    <s v="TXN-0578"/>
    <x v="2"/>
    <x v="1"/>
    <x v="5"/>
    <s v="Público"/>
    <s v="Bomba de Infusión"/>
    <s v="Medicación IV"/>
    <s v="Rep_04"/>
    <n v="4"/>
    <n v="28000"/>
    <n v="16800"/>
    <n v="0.126"/>
    <x v="0"/>
    <n v="4"/>
    <n v="24472"/>
    <n v="97888"/>
    <n v="67200"/>
    <n v="30688"/>
    <n v="31.4"/>
    <n v="2.5000000000000001E-2"/>
    <n v="2447.1999999999998"/>
  </r>
  <r>
    <s v="TXN-0579"/>
    <x v="0"/>
    <x v="2"/>
    <x v="5"/>
    <s v="Público"/>
    <s v="Electrocardiógrafo"/>
    <s v="Diagnóstico"/>
    <s v="Rep_06"/>
    <n v="2"/>
    <n v="32000"/>
    <n v="19200"/>
    <n v="5.8999999999999997E-2"/>
    <x v="0"/>
    <n v="33"/>
    <n v="30112"/>
    <n v="60224"/>
    <n v="38400"/>
    <n v="21824"/>
    <n v="36.200000000000003"/>
    <n v="2.5000000000000001E-2"/>
    <n v="1505.6"/>
  </r>
  <r>
    <s v="TXN-0580"/>
    <x v="1"/>
    <x v="1"/>
    <x v="1"/>
    <s v="Privado"/>
    <s v="Bomba de Infusión"/>
    <s v="Medicación IV"/>
    <s v="Rep_09"/>
    <n v="1"/>
    <n v="28000"/>
    <n v="16800"/>
    <n v="5.7000000000000002E-2"/>
    <x v="1"/>
    <n v="10"/>
    <n v="26404"/>
    <n v="26404"/>
    <n v="16800"/>
    <n v="9604"/>
    <n v="36.4"/>
    <n v="0.06"/>
    <n v="1584.24"/>
  </r>
  <r>
    <s v="TXN-0581"/>
    <x v="1"/>
    <x v="0"/>
    <x v="5"/>
    <s v="Público"/>
    <s v="Monitor de Signos"/>
    <s v="Equipo UCI"/>
    <s v="Rep_04"/>
    <n v="3"/>
    <n v="45000"/>
    <n v="27000"/>
    <n v="0.107"/>
    <x v="1"/>
    <n v="25"/>
    <n v="40185"/>
    <n v="120555"/>
    <n v="81000"/>
    <n v="39555"/>
    <n v="32.799999999999997"/>
    <n v="2.5000000000000001E-2"/>
    <n v="3013.88"/>
  </r>
  <r>
    <s v="TXN-0582"/>
    <x v="3"/>
    <x v="1"/>
    <x v="5"/>
    <s v="Público"/>
    <s v="Ventilador Mecánico"/>
    <s v="Equipo UCI"/>
    <s v="Rep_02"/>
    <n v="9"/>
    <n v="180000"/>
    <n v="108000"/>
    <n v="0.17399999999999999"/>
    <x v="1"/>
    <n v="39"/>
    <n v="148680"/>
    <n v="1338120"/>
    <n v="972000"/>
    <n v="366120"/>
    <n v="27.4"/>
    <n v="2.5000000000000001E-2"/>
    <n v="33453"/>
  </r>
  <r>
    <s v="TXN-0583"/>
    <x v="3"/>
    <x v="2"/>
    <x v="6"/>
    <s v="Privado"/>
    <s v="Desfibrilador"/>
    <s v="Emergencias"/>
    <s v="Rep_06"/>
    <n v="10"/>
    <n v="95000"/>
    <n v="57000"/>
    <n v="9.1999999999999998E-2"/>
    <x v="0"/>
    <n v="5"/>
    <n v="86260"/>
    <n v="862600"/>
    <n v="570000"/>
    <n v="292600"/>
    <n v="33.9"/>
    <n v="0.06"/>
    <n v="51756"/>
  </r>
  <r>
    <s v="TXN-0584"/>
    <x v="1"/>
    <x v="1"/>
    <x v="3"/>
    <s v="Privado"/>
    <s v="Electrocardiógrafo"/>
    <s v="Diagnóstico"/>
    <s v="Rep_07"/>
    <n v="10"/>
    <n v="32000"/>
    <n v="19200"/>
    <n v="6.7000000000000004E-2"/>
    <x v="0"/>
    <n v="11"/>
    <n v="29856"/>
    <n v="298560"/>
    <n v="192000"/>
    <n v="106560"/>
    <n v="35.700000000000003"/>
    <n v="0.06"/>
    <n v="17913.599999999999"/>
  </r>
  <r>
    <s v="TXN-0585"/>
    <x v="0"/>
    <x v="4"/>
    <x v="4"/>
    <s v="Público"/>
    <s v="Oxímetro Portátil"/>
    <s v="Diagnóstico"/>
    <s v="Rep_05"/>
    <n v="5"/>
    <n v="8500"/>
    <n v="5100"/>
    <n v="1.7999999999999999E-2"/>
    <x v="0"/>
    <n v="6"/>
    <n v="8347"/>
    <n v="41735"/>
    <n v="25500"/>
    <n v="16235"/>
    <n v="38.9"/>
    <n v="2.5000000000000001E-2"/>
    <n v="1043.3800000000001"/>
  </r>
  <r>
    <s v="TXN-0586"/>
    <x v="0"/>
    <x v="1"/>
    <x v="3"/>
    <s v="Privado"/>
    <s v="Electrocardiógrafo"/>
    <s v="Diagnóstico"/>
    <s v="Rep_06"/>
    <n v="8"/>
    <n v="32000"/>
    <n v="19200"/>
    <n v="1.6E-2"/>
    <x v="0"/>
    <n v="31"/>
    <n v="31488"/>
    <n v="251904"/>
    <n v="153600"/>
    <n v="98304"/>
    <n v="39"/>
    <n v="0.06"/>
    <n v="15114.24"/>
  </r>
  <r>
    <s v="TXN-0587"/>
    <x v="3"/>
    <x v="3"/>
    <x v="5"/>
    <s v="Público"/>
    <s v="Electrocardiógrafo"/>
    <s v="Diagnóstico"/>
    <s v="Rep_01"/>
    <n v="13"/>
    <n v="32000"/>
    <n v="19200"/>
    <n v="0.187"/>
    <x v="0"/>
    <n v="14"/>
    <n v="26016"/>
    <n v="338208"/>
    <n v="249600"/>
    <n v="88608"/>
    <n v="26.2"/>
    <n v="2.5000000000000001E-2"/>
    <n v="8455.2000000000007"/>
  </r>
  <r>
    <s v="TXN-0588"/>
    <x v="0"/>
    <x v="2"/>
    <x v="2"/>
    <s v="Público"/>
    <s v="Cama Hospitalaria"/>
    <s v="Mobiliario Clínico"/>
    <s v="Rep_09"/>
    <n v="10"/>
    <n v="22000"/>
    <n v="13200"/>
    <n v="0.123"/>
    <x v="0"/>
    <n v="16"/>
    <n v="19294"/>
    <n v="192940"/>
    <n v="132000"/>
    <n v="60940"/>
    <n v="31.6"/>
    <n v="2.5000000000000001E-2"/>
    <n v="4823.5"/>
  </r>
  <r>
    <s v="TXN-0589"/>
    <x v="3"/>
    <x v="1"/>
    <x v="4"/>
    <s v="Público"/>
    <s v="Desfibrilador"/>
    <s v="Emergencias"/>
    <s v="Rep_02"/>
    <n v="8"/>
    <n v="95000"/>
    <n v="57000"/>
    <n v="3.3000000000000002E-2"/>
    <x v="1"/>
    <n v="12"/>
    <n v="91865"/>
    <n v="734920"/>
    <n v="456000"/>
    <n v="278920"/>
    <n v="38"/>
    <n v="2.5000000000000001E-2"/>
    <n v="18373"/>
  </r>
  <r>
    <s v="TXN-0590"/>
    <x v="0"/>
    <x v="1"/>
    <x v="3"/>
    <s v="Privado"/>
    <s v="Bomba de Infusión"/>
    <s v="Medicación IV"/>
    <s v="Rep_08"/>
    <n v="3"/>
    <n v="28000"/>
    <n v="16800"/>
    <n v="5.8999999999999997E-2"/>
    <x v="0"/>
    <n v="36"/>
    <n v="26348"/>
    <n v="79044"/>
    <n v="50400"/>
    <n v="28644"/>
    <n v="36.200000000000003"/>
    <n v="0.06"/>
    <n v="4742.6400000000003"/>
  </r>
  <r>
    <s v="TXN-0591"/>
    <x v="3"/>
    <x v="2"/>
    <x v="1"/>
    <s v="Privado"/>
    <s v="Bomba de Infusión"/>
    <s v="Medicación IV"/>
    <s v="Rep_10"/>
    <n v="6"/>
    <n v="28000"/>
    <n v="16800"/>
    <n v="4.1000000000000002E-2"/>
    <x v="1"/>
    <n v="12"/>
    <n v="26852"/>
    <n v="161112"/>
    <n v="100800"/>
    <n v="60312"/>
    <n v="37.4"/>
    <n v="0.06"/>
    <n v="9666.7199999999993"/>
  </r>
  <r>
    <s v="TXN-0592"/>
    <x v="0"/>
    <x v="0"/>
    <x v="2"/>
    <s v="Público"/>
    <s v="Electrocardiógrafo"/>
    <s v="Diagnóstico"/>
    <s v="Rep_03"/>
    <n v="14"/>
    <n v="32000"/>
    <n v="19200"/>
    <n v="8.1000000000000003E-2"/>
    <x v="0"/>
    <n v="43"/>
    <n v="29408"/>
    <n v="411712"/>
    <n v="268800"/>
    <n v="142912"/>
    <n v="34.700000000000003"/>
    <n v="2.5000000000000001E-2"/>
    <n v="10292.799999999999"/>
  </r>
  <r>
    <s v="TXN-0593"/>
    <x v="2"/>
    <x v="2"/>
    <x v="5"/>
    <s v="Público"/>
    <s v="Monitor de Signos"/>
    <s v="Equipo UCI"/>
    <s v="Rep_04"/>
    <n v="11"/>
    <n v="45000"/>
    <n v="27000"/>
    <n v="0.153"/>
    <x v="0"/>
    <n v="34"/>
    <n v="38115"/>
    <n v="419265"/>
    <n v="297000"/>
    <n v="122265"/>
    <n v="29.2"/>
    <n v="2.5000000000000001E-2"/>
    <n v="10481.620000000001"/>
  </r>
  <r>
    <s v="TXN-0594"/>
    <x v="3"/>
    <x v="2"/>
    <x v="3"/>
    <s v="Privado"/>
    <s v="Monitor de Signos"/>
    <s v="Equipo UCI"/>
    <s v="Rep_04"/>
    <n v="12"/>
    <n v="45000"/>
    <n v="27000"/>
    <n v="7.6999999999999999E-2"/>
    <x v="1"/>
    <n v="31"/>
    <n v="41535"/>
    <n v="498420"/>
    <n v="324000"/>
    <n v="174420"/>
    <n v="35"/>
    <n v="0.06"/>
    <n v="29905.200000000001"/>
  </r>
  <r>
    <s v="TXN-0595"/>
    <x v="0"/>
    <x v="1"/>
    <x v="1"/>
    <s v="Privado"/>
    <s v="Oxímetro Portátil"/>
    <s v="Diagnóstico"/>
    <s v="Rep_10"/>
    <n v="5"/>
    <n v="8500"/>
    <n v="5100"/>
    <n v="3.2000000000000001E-2"/>
    <x v="1"/>
    <n v="6"/>
    <n v="8228"/>
    <n v="41140"/>
    <n v="25500"/>
    <n v="15640"/>
    <n v="38"/>
    <n v="0.06"/>
    <n v="2468.4"/>
  </r>
  <r>
    <s v="TXN-0596"/>
    <x v="1"/>
    <x v="2"/>
    <x v="6"/>
    <s v="Privado"/>
    <s v="Oxímetro Portátil"/>
    <s v="Diagnóstico"/>
    <s v="Rep_04"/>
    <n v="2"/>
    <n v="8500"/>
    <n v="5100"/>
    <n v="7.8E-2"/>
    <x v="0"/>
    <n v="12"/>
    <n v="7837"/>
    <n v="15674"/>
    <n v="10200"/>
    <n v="5474"/>
    <n v="34.9"/>
    <n v="0.06"/>
    <n v="940.44"/>
  </r>
  <r>
    <s v="TXN-0597"/>
    <x v="3"/>
    <x v="0"/>
    <x v="5"/>
    <s v="Público"/>
    <s v="Electrocardiógrafo"/>
    <s v="Diagnóstico"/>
    <s v="Rep_07"/>
    <n v="14"/>
    <n v="32000"/>
    <n v="19200"/>
    <n v="0.08"/>
    <x v="0"/>
    <n v="19"/>
    <n v="29440"/>
    <n v="412160"/>
    <n v="268800"/>
    <n v="143360"/>
    <n v="34.799999999999997"/>
    <n v="2.5000000000000001E-2"/>
    <n v="10304"/>
  </r>
  <r>
    <s v="TXN-0598"/>
    <x v="1"/>
    <x v="0"/>
    <x v="2"/>
    <s v="Público"/>
    <s v="Silla de Ruedas Elec."/>
    <s v="Rehabilitación"/>
    <s v="Rep_06"/>
    <n v="10"/>
    <n v="35000"/>
    <n v="21000"/>
    <n v="0.17599999999999999"/>
    <x v="0"/>
    <n v="26"/>
    <n v="28840"/>
    <n v="288400"/>
    <n v="210000"/>
    <n v="78400"/>
    <n v="27.2"/>
    <n v="2.5000000000000001E-2"/>
    <n v="7210"/>
  </r>
  <r>
    <s v="TXN-0599"/>
    <x v="1"/>
    <x v="3"/>
    <x v="1"/>
    <s v="Privado"/>
    <s v="Ventilador Mecánico"/>
    <s v="Equipo UCI"/>
    <s v="Rep_10"/>
    <n v="14"/>
    <n v="180000"/>
    <n v="108000"/>
    <n v="7.0000000000000007E-2"/>
    <x v="0"/>
    <n v="7"/>
    <n v="167400"/>
    <n v="2343600"/>
    <n v="1512000"/>
    <n v="831600"/>
    <n v="35.5"/>
    <n v="0.06"/>
    <n v="140616"/>
  </r>
  <r>
    <s v="TXN-0600"/>
    <x v="0"/>
    <x v="1"/>
    <x v="5"/>
    <s v="Público"/>
    <s v="Cama Hospitalaria"/>
    <s v="Mobiliario Clínico"/>
    <s v="Rep_09"/>
    <n v="4"/>
    <n v="22000"/>
    <n v="13200"/>
    <n v="6.4000000000000001E-2"/>
    <x v="1"/>
    <n v="36"/>
    <n v="20592"/>
    <n v="82368"/>
    <n v="52800"/>
    <n v="29568"/>
    <n v="35.9"/>
    <n v="2.5000000000000001E-2"/>
    <n v="2059.1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4DEA4-EC7D-1541-86B9-28464BAA7743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G8" firstHeaderRow="1" firstDataRow="2" firstDataCol="1"/>
  <pivotFields count="21">
    <pivotField showAll="0"/>
    <pivotField axis="axisRow" showAll="0">
      <items count="5">
        <item x="1"/>
        <item x="3"/>
        <item x="0"/>
        <item x="2"/>
        <item t="default"/>
      </items>
    </pivotField>
    <pivotField axis="axisCol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venta_total" fld="15" baseField="0" baseItem="0" numFmtId="164"/>
  </dataFields>
  <formats count="1">
    <format dxfId="6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79F7B-FC43-3F43-8C2B-98426ADFE79B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9" firstHeaderRow="1" firstDataRow="1" firstDataCol="1"/>
  <pivotFields count="21">
    <pivotField showAll="0"/>
    <pivotField showAll="0"/>
    <pivotField showAll="0"/>
    <pivotField axis="axisRow" showAll="0">
      <items count="8">
        <item x="6"/>
        <item x="3"/>
        <item x="5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margen_pct" fld="18" subtotal="average" baseField="0" baseItem="0" numFmtId="2"/>
  </dataFields>
  <formats count="63">
    <format dxfId="62">
      <pivotArea field="3" type="button" dataOnly="0" labelOnly="1" outline="0" axis="axisRow" fieldPosition="0"/>
    </format>
    <format dxfId="61">
      <pivotArea dataOnly="0" labelOnly="1" outline="0" axis="axisValues" fieldPosition="0"/>
    </format>
    <format dxfId="60">
      <pivotArea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3" type="button" dataOnly="0" labelOnly="1" outline="0" axis="axisRow" fieldPosition="0"/>
    </format>
    <format dxfId="56">
      <pivotArea dataOnly="0" labelOnly="1" fieldPosition="0">
        <references count="1">
          <reference field="3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3" type="button" dataOnly="0" labelOnly="1" outline="0" axis="axisRow" fieldPosition="0"/>
    </format>
    <format dxfId="50">
      <pivotArea dataOnly="0" labelOnly="1" fieldPosition="0">
        <references count="1">
          <reference field="3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3" type="button" dataOnly="0" labelOnly="1" outline="0" axis="axisRow" fieldPosition="0"/>
    </format>
    <format dxfId="44">
      <pivotArea dataOnly="0" labelOnly="1" fieldPosition="0">
        <references count="1">
          <reference field="3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3" type="button" dataOnly="0" labelOnly="1" outline="0" axis="axisRow" fieldPosition="0"/>
    </format>
    <format dxfId="38">
      <pivotArea dataOnly="0" labelOnly="1" fieldPosition="0">
        <references count="1">
          <reference field="3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1"/>
  <sheetViews>
    <sheetView zoomScale="125" workbookViewId="0">
      <selection activeCell="M6" sqref="M6"/>
    </sheetView>
  </sheetViews>
  <sheetFormatPr baseColWidth="10" defaultColWidth="8.83203125" defaultRowHeight="15" x14ac:dyDescent="0.2"/>
  <cols>
    <col min="1" max="1" width="12.1640625" bestFit="1" customWidth="1"/>
    <col min="2" max="2" width="8.5" bestFit="1" customWidth="1"/>
    <col min="3" max="3" width="10.1640625" bestFit="1" customWidth="1"/>
    <col min="4" max="4" width="15" bestFit="1" customWidth="1"/>
    <col min="5" max="5" width="11.33203125" bestFit="1" customWidth="1"/>
    <col min="6" max="6" width="16.83203125" bestFit="1" customWidth="1"/>
    <col min="7" max="7" width="14.1640625" bestFit="1" customWidth="1"/>
    <col min="8" max="8" width="12.33203125" bestFit="1" customWidth="1"/>
    <col min="9" max="9" width="8.1640625" bestFit="1" customWidth="1"/>
    <col min="10" max="10" width="10.5" bestFit="1" customWidth="1"/>
    <col min="11" max="11" width="12.33203125" bestFit="1" customWidth="1"/>
    <col min="12" max="12" width="9.33203125" bestFit="1" customWidth="1"/>
    <col min="13" max="13" width="13.33203125" bestFit="1" customWidth="1"/>
    <col min="14" max="14" width="11" bestFit="1" customWidth="1"/>
    <col min="15" max="15" width="10.33203125" bestFit="1" customWidth="1"/>
    <col min="16" max="16" width="10" bestFit="1" customWidth="1"/>
    <col min="17" max="17" width="9.83203125" bestFit="1" customWidth="1"/>
    <col min="18" max="18" width="12.1640625" bestFit="1" customWidth="1"/>
    <col min="19" max="19" width="10.33203125" bestFit="1" customWidth="1"/>
    <col min="20" max="20" width="11.5" bestFit="1" customWidth="1"/>
    <col min="21" max="21" width="12.3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2</v>
      </c>
      <c r="J2">
        <v>35000</v>
      </c>
      <c r="K2">
        <v>21000</v>
      </c>
      <c r="L2">
        <v>1.4E-2</v>
      </c>
      <c r="M2">
        <v>1</v>
      </c>
      <c r="N2">
        <v>25</v>
      </c>
      <c r="O2">
        <v>34510</v>
      </c>
      <c r="P2">
        <v>69020</v>
      </c>
      <c r="Q2">
        <v>42000</v>
      </c>
      <c r="R2">
        <v>27020</v>
      </c>
      <c r="S2">
        <v>39.1</v>
      </c>
      <c r="T2">
        <v>0.06</v>
      </c>
      <c r="U2">
        <v>4141.2</v>
      </c>
    </row>
    <row r="3" spans="1:21" x14ac:dyDescent="0.2">
      <c r="A3" t="s">
        <v>29</v>
      </c>
      <c r="B3" t="s">
        <v>30</v>
      </c>
      <c r="C3" t="s">
        <v>23</v>
      </c>
      <c r="D3" t="s">
        <v>31</v>
      </c>
      <c r="E3" t="s">
        <v>25</v>
      </c>
      <c r="F3" t="s">
        <v>26</v>
      </c>
      <c r="G3" t="s">
        <v>27</v>
      </c>
      <c r="H3" t="s">
        <v>32</v>
      </c>
      <c r="I3">
        <v>7</v>
      </c>
      <c r="J3">
        <v>35000</v>
      </c>
      <c r="K3">
        <v>21000</v>
      </c>
      <c r="L3">
        <v>7.2999999999999995E-2</v>
      </c>
      <c r="M3">
        <v>0</v>
      </c>
      <c r="N3">
        <v>10</v>
      </c>
      <c r="O3">
        <v>32445</v>
      </c>
      <c r="P3">
        <v>227115</v>
      </c>
      <c r="Q3">
        <v>147000</v>
      </c>
      <c r="R3">
        <v>80115</v>
      </c>
      <c r="S3">
        <v>35.299999999999997</v>
      </c>
      <c r="T3">
        <v>0.06</v>
      </c>
      <c r="U3">
        <v>13626.9</v>
      </c>
    </row>
    <row r="4" spans="1:21" x14ac:dyDescent="0.2">
      <c r="A4" t="s">
        <v>33</v>
      </c>
      <c r="B4" t="s">
        <v>34</v>
      </c>
      <c r="C4" t="s">
        <v>35</v>
      </c>
      <c r="D4" t="s">
        <v>31</v>
      </c>
      <c r="E4" t="s">
        <v>25</v>
      </c>
      <c r="F4" t="s">
        <v>36</v>
      </c>
      <c r="G4" t="s">
        <v>37</v>
      </c>
      <c r="H4" t="s">
        <v>38</v>
      </c>
      <c r="I4">
        <v>9</v>
      </c>
      <c r="J4">
        <v>8500</v>
      </c>
      <c r="K4">
        <v>5100</v>
      </c>
      <c r="L4">
        <v>9.0999999999999998E-2</v>
      </c>
      <c r="M4">
        <v>0</v>
      </c>
      <c r="N4">
        <v>40</v>
      </c>
      <c r="O4">
        <v>7726.5</v>
      </c>
      <c r="P4">
        <v>69538.5</v>
      </c>
      <c r="Q4">
        <v>45900</v>
      </c>
      <c r="R4">
        <v>23638.5</v>
      </c>
      <c r="S4">
        <v>34</v>
      </c>
      <c r="T4">
        <v>0.06</v>
      </c>
      <c r="U4">
        <v>4172.3100000000004</v>
      </c>
    </row>
    <row r="5" spans="1:21" x14ac:dyDescent="0.2">
      <c r="A5" t="s">
        <v>39</v>
      </c>
      <c r="B5" t="s">
        <v>22</v>
      </c>
      <c r="C5" t="s">
        <v>23</v>
      </c>
      <c r="D5" t="s">
        <v>40</v>
      </c>
      <c r="E5" t="s">
        <v>41</v>
      </c>
      <c r="F5" t="s">
        <v>36</v>
      </c>
      <c r="G5" t="s">
        <v>37</v>
      </c>
      <c r="H5" t="s">
        <v>42</v>
      </c>
      <c r="I5">
        <v>10</v>
      </c>
      <c r="J5">
        <v>8500</v>
      </c>
      <c r="K5">
        <v>5100</v>
      </c>
      <c r="L5">
        <v>2.1000000000000001E-2</v>
      </c>
      <c r="M5">
        <v>1</v>
      </c>
      <c r="N5">
        <v>13</v>
      </c>
      <c r="O5">
        <v>8321.5</v>
      </c>
      <c r="P5">
        <v>83215</v>
      </c>
      <c r="Q5">
        <v>51000</v>
      </c>
      <c r="R5">
        <v>32215</v>
      </c>
      <c r="S5">
        <v>38.700000000000003</v>
      </c>
      <c r="T5">
        <v>2.5000000000000001E-2</v>
      </c>
      <c r="U5">
        <v>2080.38</v>
      </c>
    </row>
    <row r="6" spans="1:21" x14ac:dyDescent="0.2">
      <c r="A6" t="s">
        <v>43</v>
      </c>
      <c r="B6" t="s">
        <v>34</v>
      </c>
      <c r="C6" t="s">
        <v>44</v>
      </c>
      <c r="D6" t="s">
        <v>45</v>
      </c>
      <c r="E6" t="s">
        <v>25</v>
      </c>
      <c r="F6" t="s">
        <v>46</v>
      </c>
      <c r="G6" t="s">
        <v>47</v>
      </c>
      <c r="H6" t="s">
        <v>48</v>
      </c>
      <c r="I6">
        <v>8</v>
      </c>
      <c r="J6">
        <v>95000</v>
      </c>
      <c r="K6">
        <v>57000</v>
      </c>
      <c r="L6">
        <v>6.2E-2</v>
      </c>
      <c r="M6">
        <v>1</v>
      </c>
      <c r="N6">
        <v>17</v>
      </c>
      <c r="O6">
        <v>89110</v>
      </c>
      <c r="P6">
        <v>712880</v>
      </c>
      <c r="Q6">
        <v>456000</v>
      </c>
      <c r="R6">
        <v>256880</v>
      </c>
      <c r="S6">
        <v>36</v>
      </c>
      <c r="T6">
        <v>0.06</v>
      </c>
      <c r="U6">
        <v>42772.800000000003</v>
      </c>
    </row>
    <row r="7" spans="1:21" x14ac:dyDescent="0.2">
      <c r="A7" t="s">
        <v>49</v>
      </c>
      <c r="B7" t="s">
        <v>30</v>
      </c>
      <c r="C7" t="s">
        <v>50</v>
      </c>
      <c r="D7" t="s">
        <v>45</v>
      </c>
      <c r="E7" t="s">
        <v>25</v>
      </c>
      <c r="F7" t="s">
        <v>51</v>
      </c>
      <c r="G7" t="s">
        <v>37</v>
      </c>
      <c r="H7" t="s">
        <v>52</v>
      </c>
      <c r="I7">
        <v>3</v>
      </c>
      <c r="J7">
        <v>32000</v>
      </c>
      <c r="K7">
        <v>19200</v>
      </c>
      <c r="L7">
        <v>0.03</v>
      </c>
      <c r="M7">
        <v>0</v>
      </c>
      <c r="N7">
        <v>10</v>
      </c>
      <c r="O7">
        <v>31040</v>
      </c>
      <c r="P7">
        <v>93120</v>
      </c>
      <c r="Q7">
        <v>57600</v>
      </c>
      <c r="R7">
        <v>35520</v>
      </c>
      <c r="S7">
        <v>38.1</v>
      </c>
      <c r="T7">
        <v>0.06</v>
      </c>
      <c r="U7">
        <v>5587.2</v>
      </c>
    </row>
    <row r="8" spans="1:21" x14ac:dyDescent="0.2">
      <c r="A8" t="s">
        <v>53</v>
      </c>
      <c r="B8" t="s">
        <v>54</v>
      </c>
      <c r="C8" t="s">
        <v>44</v>
      </c>
      <c r="D8" t="s">
        <v>55</v>
      </c>
      <c r="E8" t="s">
        <v>41</v>
      </c>
      <c r="F8" t="s">
        <v>56</v>
      </c>
      <c r="G8" t="s">
        <v>57</v>
      </c>
      <c r="H8" t="s">
        <v>42</v>
      </c>
      <c r="I8">
        <v>12</v>
      </c>
      <c r="J8">
        <v>180000</v>
      </c>
      <c r="K8">
        <v>108000</v>
      </c>
      <c r="L8">
        <v>4.5999999999999999E-2</v>
      </c>
      <c r="M8">
        <v>0</v>
      </c>
      <c r="N8">
        <v>32</v>
      </c>
      <c r="O8">
        <v>171720</v>
      </c>
      <c r="P8">
        <v>2060640</v>
      </c>
      <c r="Q8">
        <v>1296000</v>
      </c>
      <c r="R8">
        <v>764640</v>
      </c>
      <c r="S8">
        <v>37.1</v>
      </c>
      <c r="T8">
        <v>2.5000000000000001E-2</v>
      </c>
      <c r="U8">
        <v>51516</v>
      </c>
    </row>
    <row r="9" spans="1:21" x14ac:dyDescent="0.2">
      <c r="A9" t="s">
        <v>58</v>
      </c>
      <c r="B9" t="s">
        <v>30</v>
      </c>
      <c r="C9" t="s">
        <v>50</v>
      </c>
      <c r="D9" t="s">
        <v>31</v>
      </c>
      <c r="E9" t="s">
        <v>25</v>
      </c>
      <c r="F9" t="s">
        <v>26</v>
      </c>
      <c r="G9" t="s">
        <v>27</v>
      </c>
      <c r="H9" t="s">
        <v>59</v>
      </c>
      <c r="I9">
        <v>8</v>
      </c>
      <c r="J9">
        <v>35000</v>
      </c>
      <c r="K9">
        <v>21000</v>
      </c>
      <c r="L9">
        <v>5.0999999999999997E-2</v>
      </c>
      <c r="M9">
        <v>0</v>
      </c>
      <c r="N9">
        <v>44</v>
      </c>
      <c r="O9">
        <v>33215</v>
      </c>
      <c r="P9">
        <v>265720</v>
      </c>
      <c r="Q9">
        <v>168000</v>
      </c>
      <c r="R9">
        <v>97720</v>
      </c>
      <c r="S9">
        <v>36.799999999999997</v>
      </c>
      <c r="T9">
        <v>0.06</v>
      </c>
      <c r="U9">
        <v>15943.2</v>
      </c>
    </row>
    <row r="10" spans="1:21" x14ac:dyDescent="0.2">
      <c r="A10" t="s">
        <v>60</v>
      </c>
      <c r="B10" t="s">
        <v>22</v>
      </c>
      <c r="C10" t="s">
        <v>50</v>
      </c>
      <c r="D10" t="s">
        <v>31</v>
      </c>
      <c r="E10" t="s">
        <v>25</v>
      </c>
      <c r="F10" t="s">
        <v>56</v>
      </c>
      <c r="G10" t="s">
        <v>57</v>
      </c>
      <c r="H10" t="s">
        <v>52</v>
      </c>
      <c r="I10">
        <v>10</v>
      </c>
      <c r="J10">
        <v>180000</v>
      </c>
      <c r="K10">
        <v>108000</v>
      </c>
      <c r="L10">
        <v>4.7E-2</v>
      </c>
      <c r="M10">
        <v>1</v>
      </c>
      <c r="N10">
        <v>40</v>
      </c>
      <c r="O10">
        <v>171540</v>
      </c>
      <c r="P10">
        <v>1715400</v>
      </c>
      <c r="Q10">
        <v>1080000</v>
      </c>
      <c r="R10">
        <v>635400</v>
      </c>
      <c r="S10">
        <v>37</v>
      </c>
      <c r="T10">
        <v>0.06</v>
      </c>
      <c r="U10">
        <v>102924</v>
      </c>
    </row>
    <row r="11" spans="1:21" x14ac:dyDescent="0.2">
      <c r="A11" t="s">
        <v>61</v>
      </c>
      <c r="B11" t="s">
        <v>22</v>
      </c>
      <c r="C11" t="s">
        <v>50</v>
      </c>
      <c r="D11" t="s">
        <v>24</v>
      </c>
      <c r="E11" t="s">
        <v>25</v>
      </c>
      <c r="F11" t="s">
        <v>62</v>
      </c>
      <c r="G11" t="s">
        <v>57</v>
      </c>
      <c r="H11" t="s">
        <v>48</v>
      </c>
      <c r="I11">
        <v>5</v>
      </c>
      <c r="J11">
        <v>45000</v>
      </c>
      <c r="K11">
        <v>27000</v>
      </c>
      <c r="L11">
        <v>5.1999999999999998E-2</v>
      </c>
      <c r="M11">
        <v>0</v>
      </c>
      <c r="N11">
        <v>17</v>
      </c>
      <c r="O11">
        <v>42660</v>
      </c>
      <c r="P11">
        <v>213300</v>
      </c>
      <c r="Q11">
        <v>135000</v>
      </c>
      <c r="R11">
        <v>78300</v>
      </c>
      <c r="S11">
        <v>36.700000000000003</v>
      </c>
      <c r="T11">
        <v>0.06</v>
      </c>
      <c r="U11">
        <v>12798</v>
      </c>
    </row>
    <row r="12" spans="1:21" x14ac:dyDescent="0.2">
      <c r="A12" t="s">
        <v>63</v>
      </c>
      <c r="B12" t="s">
        <v>22</v>
      </c>
      <c r="C12" t="s">
        <v>35</v>
      </c>
      <c r="D12" t="s">
        <v>55</v>
      </c>
      <c r="E12" t="s">
        <v>41</v>
      </c>
      <c r="F12" t="s">
        <v>26</v>
      </c>
      <c r="G12" t="s">
        <v>27</v>
      </c>
      <c r="H12" t="s">
        <v>64</v>
      </c>
      <c r="I12">
        <v>8</v>
      </c>
      <c r="J12">
        <v>35000</v>
      </c>
      <c r="K12">
        <v>21000</v>
      </c>
      <c r="L12">
        <v>4.5999999999999999E-2</v>
      </c>
      <c r="M12">
        <v>1</v>
      </c>
      <c r="N12">
        <v>34</v>
      </c>
      <c r="O12">
        <v>33390</v>
      </c>
      <c r="P12">
        <v>267120</v>
      </c>
      <c r="Q12">
        <v>168000</v>
      </c>
      <c r="R12">
        <v>99120</v>
      </c>
      <c r="S12">
        <v>37.1</v>
      </c>
      <c r="T12">
        <v>2.5000000000000001E-2</v>
      </c>
      <c r="U12">
        <v>6678</v>
      </c>
    </row>
    <row r="13" spans="1:21" x14ac:dyDescent="0.2">
      <c r="A13" t="s">
        <v>65</v>
      </c>
      <c r="B13" t="s">
        <v>34</v>
      </c>
      <c r="C13" t="s">
        <v>23</v>
      </c>
      <c r="D13" t="s">
        <v>55</v>
      </c>
      <c r="E13" t="s">
        <v>41</v>
      </c>
      <c r="F13" t="s">
        <v>51</v>
      </c>
      <c r="G13" t="s">
        <v>37</v>
      </c>
      <c r="H13" t="s">
        <v>38</v>
      </c>
      <c r="I13">
        <v>10</v>
      </c>
      <c r="J13">
        <v>32000</v>
      </c>
      <c r="K13">
        <v>19200</v>
      </c>
      <c r="L13">
        <v>0.107</v>
      </c>
      <c r="M13">
        <v>0</v>
      </c>
      <c r="N13">
        <v>21</v>
      </c>
      <c r="O13">
        <v>28576</v>
      </c>
      <c r="P13">
        <v>285760</v>
      </c>
      <c r="Q13">
        <v>192000</v>
      </c>
      <c r="R13">
        <v>93760</v>
      </c>
      <c r="S13">
        <v>32.799999999999997</v>
      </c>
      <c r="T13">
        <v>2.5000000000000001E-2</v>
      </c>
      <c r="U13">
        <v>7144</v>
      </c>
    </row>
    <row r="14" spans="1:21" x14ac:dyDescent="0.2">
      <c r="A14" t="s">
        <v>66</v>
      </c>
      <c r="B14" t="s">
        <v>30</v>
      </c>
      <c r="C14" t="s">
        <v>44</v>
      </c>
      <c r="D14" t="s">
        <v>67</v>
      </c>
      <c r="E14" t="s">
        <v>41</v>
      </c>
      <c r="F14" t="s">
        <v>36</v>
      </c>
      <c r="G14" t="s">
        <v>37</v>
      </c>
      <c r="H14" t="s">
        <v>48</v>
      </c>
      <c r="I14">
        <v>11</v>
      </c>
      <c r="J14">
        <v>8500</v>
      </c>
      <c r="K14">
        <v>5100</v>
      </c>
      <c r="L14">
        <v>0.17299999999999999</v>
      </c>
      <c r="M14">
        <v>1</v>
      </c>
      <c r="N14">
        <v>35</v>
      </c>
      <c r="O14">
        <v>7029.5</v>
      </c>
      <c r="P14">
        <v>77324.5</v>
      </c>
      <c r="Q14">
        <v>56100</v>
      </c>
      <c r="R14">
        <v>21224.5</v>
      </c>
      <c r="S14">
        <v>27.4</v>
      </c>
      <c r="T14">
        <v>2.5000000000000001E-2</v>
      </c>
      <c r="U14">
        <v>1933.11</v>
      </c>
    </row>
    <row r="15" spans="1:21" x14ac:dyDescent="0.2">
      <c r="A15" t="s">
        <v>68</v>
      </c>
      <c r="B15" t="s">
        <v>22</v>
      </c>
      <c r="C15" t="s">
        <v>35</v>
      </c>
      <c r="D15" t="s">
        <v>67</v>
      </c>
      <c r="E15" t="s">
        <v>41</v>
      </c>
      <c r="F15" t="s">
        <v>46</v>
      </c>
      <c r="G15" t="s">
        <v>47</v>
      </c>
      <c r="H15" t="s">
        <v>48</v>
      </c>
      <c r="I15">
        <v>13</v>
      </c>
      <c r="J15">
        <v>95000</v>
      </c>
      <c r="K15">
        <v>57000</v>
      </c>
      <c r="L15">
        <v>0.17299999999999999</v>
      </c>
      <c r="M15">
        <v>1</v>
      </c>
      <c r="N15">
        <v>15</v>
      </c>
      <c r="O15">
        <v>78565</v>
      </c>
      <c r="P15">
        <v>1021345</v>
      </c>
      <c r="Q15">
        <v>741000</v>
      </c>
      <c r="R15">
        <v>280345</v>
      </c>
      <c r="S15">
        <v>27.4</v>
      </c>
      <c r="T15">
        <v>2.5000000000000001E-2</v>
      </c>
      <c r="U15">
        <v>25533.62</v>
      </c>
    </row>
    <row r="16" spans="1:21" x14ac:dyDescent="0.2">
      <c r="A16" t="s">
        <v>69</v>
      </c>
      <c r="B16" t="s">
        <v>34</v>
      </c>
      <c r="C16" t="s">
        <v>50</v>
      </c>
      <c r="D16" t="s">
        <v>55</v>
      </c>
      <c r="E16" t="s">
        <v>41</v>
      </c>
      <c r="F16" t="s">
        <v>56</v>
      </c>
      <c r="G16" t="s">
        <v>57</v>
      </c>
      <c r="H16" t="s">
        <v>70</v>
      </c>
      <c r="I16">
        <v>5</v>
      </c>
      <c r="J16">
        <v>180000</v>
      </c>
      <c r="K16">
        <v>108000</v>
      </c>
      <c r="L16">
        <v>5.6000000000000001E-2</v>
      </c>
      <c r="M16">
        <v>0</v>
      </c>
      <c r="N16">
        <v>7</v>
      </c>
      <c r="O16">
        <v>169920</v>
      </c>
      <c r="P16">
        <v>849600</v>
      </c>
      <c r="Q16">
        <v>540000</v>
      </c>
      <c r="R16">
        <v>309600</v>
      </c>
      <c r="S16">
        <v>36.4</v>
      </c>
      <c r="T16">
        <v>2.5000000000000001E-2</v>
      </c>
      <c r="U16">
        <v>21240</v>
      </c>
    </row>
    <row r="17" spans="1:21" x14ac:dyDescent="0.2">
      <c r="A17" t="s">
        <v>71</v>
      </c>
      <c r="B17" t="s">
        <v>30</v>
      </c>
      <c r="C17" t="s">
        <v>35</v>
      </c>
      <c r="D17" t="s">
        <v>67</v>
      </c>
      <c r="E17" t="s">
        <v>41</v>
      </c>
      <c r="F17" t="s">
        <v>46</v>
      </c>
      <c r="G17" t="s">
        <v>47</v>
      </c>
      <c r="H17" t="s">
        <v>28</v>
      </c>
      <c r="I17">
        <v>2</v>
      </c>
      <c r="J17">
        <v>95000</v>
      </c>
      <c r="K17">
        <v>57000</v>
      </c>
      <c r="L17">
        <v>0.14199999999999999</v>
      </c>
      <c r="M17">
        <v>1</v>
      </c>
      <c r="N17">
        <v>12</v>
      </c>
      <c r="O17">
        <v>81510</v>
      </c>
      <c r="P17">
        <v>163020</v>
      </c>
      <c r="Q17">
        <v>114000</v>
      </c>
      <c r="R17">
        <v>49020</v>
      </c>
      <c r="S17">
        <v>30.1</v>
      </c>
      <c r="T17">
        <v>2.5000000000000001E-2</v>
      </c>
      <c r="U17">
        <v>4075.5</v>
      </c>
    </row>
    <row r="18" spans="1:21" x14ac:dyDescent="0.2">
      <c r="A18" t="s">
        <v>72</v>
      </c>
      <c r="B18" t="s">
        <v>30</v>
      </c>
      <c r="C18" t="s">
        <v>23</v>
      </c>
      <c r="D18" t="s">
        <v>67</v>
      </c>
      <c r="E18" t="s">
        <v>41</v>
      </c>
      <c r="F18" t="s">
        <v>73</v>
      </c>
      <c r="G18" t="s">
        <v>74</v>
      </c>
      <c r="H18" t="s">
        <v>75</v>
      </c>
      <c r="I18">
        <v>3</v>
      </c>
      <c r="J18">
        <v>22000</v>
      </c>
      <c r="K18">
        <v>13200</v>
      </c>
      <c r="L18">
        <v>0.16</v>
      </c>
      <c r="M18">
        <v>1</v>
      </c>
      <c r="N18">
        <v>44</v>
      </c>
      <c r="O18">
        <v>18480</v>
      </c>
      <c r="P18">
        <v>55440</v>
      </c>
      <c r="Q18">
        <v>39600</v>
      </c>
      <c r="R18">
        <v>15840</v>
      </c>
      <c r="S18">
        <v>28.6</v>
      </c>
      <c r="T18">
        <v>2.5000000000000001E-2</v>
      </c>
      <c r="U18">
        <v>1386</v>
      </c>
    </row>
    <row r="19" spans="1:21" x14ac:dyDescent="0.2">
      <c r="A19" t="s">
        <v>76</v>
      </c>
      <c r="B19" t="s">
        <v>34</v>
      </c>
      <c r="C19" t="s">
        <v>23</v>
      </c>
      <c r="D19" t="s">
        <v>67</v>
      </c>
      <c r="E19" t="s">
        <v>41</v>
      </c>
      <c r="F19" t="s">
        <v>36</v>
      </c>
      <c r="G19" t="s">
        <v>37</v>
      </c>
      <c r="H19" t="s">
        <v>38</v>
      </c>
      <c r="I19">
        <v>3</v>
      </c>
      <c r="J19">
        <v>8500</v>
      </c>
      <c r="K19">
        <v>5100</v>
      </c>
      <c r="L19">
        <v>0.158</v>
      </c>
      <c r="M19">
        <v>1</v>
      </c>
      <c r="N19">
        <v>15</v>
      </c>
      <c r="O19">
        <v>7157</v>
      </c>
      <c r="P19">
        <v>21471</v>
      </c>
      <c r="Q19">
        <v>15300</v>
      </c>
      <c r="R19">
        <v>6171</v>
      </c>
      <c r="S19">
        <v>28.7</v>
      </c>
      <c r="T19">
        <v>2.5000000000000001E-2</v>
      </c>
      <c r="U19">
        <v>536.78</v>
      </c>
    </row>
    <row r="20" spans="1:21" x14ac:dyDescent="0.2">
      <c r="A20" t="s">
        <v>77</v>
      </c>
      <c r="B20" t="s">
        <v>54</v>
      </c>
      <c r="C20" t="s">
        <v>50</v>
      </c>
      <c r="D20" t="s">
        <v>31</v>
      </c>
      <c r="E20" t="s">
        <v>25</v>
      </c>
      <c r="F20" t="s">
        <v>73</v>
      </c>
      <c r="G20" t="s">
        <v>74</v>
      </c>
      <c r="H20" t="s">
        <v>38</v>
      </c>
      <c r="I20">
        <v>6</v>
      </c>
      <c r="J20">
        <v>22000</v>
      </c>
      <c r="K20">
        <v>13200</v>
      </c>
      <c r="L20">
        <v>5.8000000000000003E-2</v>
      </c>
      <c r="M20">
        <v>1</v>
      </c>
      <c r="N20">
        <v>7</v>
      </c>
      <c r="O20">
        <v>20724</v>
      </c>
      <c r="P20">
        <v>124344</v>
      </c>
      <c r="Q20">
        <v>79200</v>
      </c>
      <c r="R20">
        <v>45144</v>
      </c>
      <c r="S20">
        <v>36.299999999999997</v>
      </c>
      <c r="T20">
        <v>0.06</v>
      </c>
      <c r="U20">
        <v>7460.64</v>
      </c>
    </row>
    <row r="21" spans="1:21" x14ac:dyDescent="0.2">
      <c r="A21" t="s">
        <v>78</v>
      </c>
      <c r="B21" t="s">
        <v>54</v>
      </c>
      <c r="C21" t="s">
        <v>23</v>
      </c>
      <c r="D21" t="s">
        <v>55</v>
      </c>
      <c r="E21" t="s">
        <v>41</v>
      </c>
      <c r="F21" t="s">
        <v>36</v>
      </c>
      <c r="G21" t="s">
        <v>37</v>
      </c>
      <c r="H21" t="s">
        <v>38</v>
      </c>
      <c r="I21">
        <v>3</v>
      </c>
      <c r="J21">
        <v>8500</v>
      </c>
      <c r="K21">
        <v>5100</v>
      </c>
      <c r="L21">
        <v>0</v>
      </c>
      <c r="M21">
        <v>1</v>
      </c>
      <c r="N21">
        <v>17</v>
      </c>
      <c r="O21">
        <v>8500</v>
      </c>
      <c r="P21">
        <v>25500</v>
      </c>
      <c r="Q21">
        <v>15300</v>
      </c>
      <c r="R21">
        <v>10200</v>
      </c>
      <c r="S21">
        <v>40</v>
      </c>
      <c r="T21">
        <v>0.04</v>
      </c>
      <c r="U21">
        <v>1020</v>
      </c>
    </row>
    <row r="22" spans="1:21" x14ac:dyDescent="0.2">
      <c r="A22" t="s">
        <v>79</v>
      </c>
      <c r="B22" t="s">
        <v>54</v>
      </c>
      <c r="C22" t="s">
        <v>23</v>
      </c>
      <c r="D22" t="s">
        <v>67</v>
      </c>
      <c r="E22" t="s">
        <v>41</v>
      </c>
      <c r="F22" t="s">
        <v>51</v>
      </c>
      <c r="G22" t="s">
        <v>37</v>
      </c>
      <c r="H22" t="s">
        <v>42</v>
      </c>
      <c r="I22">
        <v>8</v>
      </c>
      <c r="J22">
        <v>32000</v>
      </c>
      <c r="K22">
        <v>19200</v>
      </c>
      <c r="L22">
        <v>2.3E-2</v>
      </c>
      <c r="M22">
        <v>1</v>
      </c>
      <c r="N22">
        <v>40</v>
      </c>
      <c r="O22">
        <v>31264</v>
      </c>
      <c r="P22">
        <v>250112</v>
      </c>
      <c r="Q22">
        <v>153600</v>
      </c>
      <c r="R22">
        <v>96512</v>
      </c>
      <c r="S22">
        <v>38.6</v>
      </c>
      <c r="T22">
        <v>2.5000000000000001E-2</v>
      </c>
      <c r="U22">
        <v>6252.8</v>
      </c>
    </row>
    <row r="23" spans="1:21" x14ac:dyDescent="0.2">
      <c r="A23" t="s">
        <v>80</v>
      </c>
      <c r="B23" t="s">
        <v>54</v>
      </c>
      <c r="C23" t="s">
        <v>81</v>
      </c>
      <c r="D23" t="s">
        <v>67</v>
      </c>
      <c r="E23" t="s">
        <v>41</v>
      </c>
      <c r="F23" t="s">
        <v>26</v>
      </c>
      <c r="G23" t="s">
        <v>27</v>
      </c>
      <c r="H23" t="s">
        <v>70</v>
      </c>
      <c r="I23">
        <v>7</v>
      </c>
      <c r="J23">
        <v>35000</v>
      </c>
      <c r="K23">
        <v>21000</v>
      </c>
      <c r="L23">
        <v>7.1999999999999995E-2</v>
      </c>
      <c r="M23">
        <v>1</v>
      </c>
      <c r="N23">
        <v>23</v>
      </c>
      <c r="O23">
        <v>32480</v>
      </c>
      <c r="P23">
        <v>227360</v>
      </c>
      <c r="Q23">
        <v>147000</v>
      </c>
      <c r="R23">
        <v>80360</v>
      </c>
      <c r="S23">
        <v>35.299999999999997</v>
      </c>
      <c r="T23">
        <v>2.5000000000000001E-2</v>
      </c>
      <c r="U23">
        <v>5684</v>
      </c>
    </row>
    <row r="24" spans="1:21" x14ac:dyDescent="0.2">
      <c r="A24" t="s">
        <v>82</v>
      </c>
      <c r="B24" t="s">
        <v>34</v>
      </c>
      <c r="C24" t="s">
        <v>35</v>
      </c>
      <c r="D24" t="s">
        <v>83</v>
      </c>
      <c r="E24" t="s">
        <v>25</v>
      </c>
      <c r="F24" t="s">
        <v>73</v>
      </c>
      <c r="G24" t="s">
        <v>74</v>
      </c>
      <c r="H24" t="s">
        <v>42</v>
      </c>
      <c r="I24">
        <v>14</v>
      </c>
      <c r="J24">
        <v>22000</v>
      </c>
      <c r="K24">
        <v>13200</v>
      </c>
      <c r="L24">
        <v>0.105</v>
      </c>
      <c r="M24">
        <v>1</v>
      </c>
      <c r="N24">
        <v>14</v>
      </c>
      <c r="O24">
        <v>19690</v>
      </c>
      <c r="P24">
        <v>275660</v>
      </c>
      <c r="Q24">
        <v>184800</v>
      </c>
      <c r="R24">
        <v>90860</v>
      </c>
      <c r="S24">
        <v>33</v>
      </c>
      <c r="T24">
        <v>0.06</v>
      </c>
      <c r="U24">
        <v>16539.599999999999</v>
      </c>
    </row>
    <row r="25" spans="1:21" x14ac:dyDescent="0.2">
      <c r="A25" t="s">
        <v>84</v>
      </c>
      <c r="B25" t="s">
        <v>54</v>
      </c>
      <c r="C25" t="s">
        <v>35</v>
      </c>
      <c r="D25" t="s">
        <v>24</v>
      </c>
      <c r="E25" t="s">
        <v>25</v>
      </c>
      <c r="F25" t="s">
        <v>26</v>
      </c>
      <c r="G25" t="s">
        <v>27</v>
      </c>
      <c r="H25" t="s">
        <v>70</v>
      </c>
      <c r="I25">
        <v>4</v>
      </c>
      <c r="J25">
        <v>35000</v>
      </c>
      <c r="K25">
        <v>21000</v>
      </c>
      <c r="L25">
        <v>3.3000000000000002E-2</v>
      </c>
      <c r="M25">
        <v>0</v>
      </c>
      <c r="N25">
        <v>12</v>
      </c>
      <c r="O25">
        <v>33845</v>
      </c>
      <c r="P25">
        <v>135380</v>
      </c>
      <c r="Q25">
        <v>84000</v>
      </c>
      <c r="R25">
        <v>51380</v>
      </c>
      <c r="S25">
        <v>38</v>
      </c>
      <c r="T25">
        <v>0.06</v>
      </c>
      <c r="U25">
        <v>8122.8</v>
      </c>
    </row>
    <row r="26" spans="1:21" x14ac:dyDescent="0.2">
      <c r="A26" t="s">
        <v>85</v>
      </c>
      <c r="B26" t="s">
        <v>54</v>
      </c>
      <c r="C26" t="s">
        <v>35</v>
      </c>
      <c r="D26" t="s">
        <v>67</v>
      </c>
      <c r="E26" t="s">
        <v>41</v>
      </c>
      <c r="F26" t="s">
        <v>86</v>
      </c>
      <c r="G26" t="s">
        <v>87</v>
      </c>
      <c r="H26" t="s">
        <v>28</v>
      </c>
      <c r="I26">
        <v>12</v>
      </c>
      <c r="J26">
        <v>28000</v>
      </c>
      <c r="K26">
        <v>16800</v>
      </c>
      <c r="L26">
        <v>5.0999999999999997E-2</v>
      </c>
      <c r="M26">
        <v>1</v>
      </c>
      <c r="N26">
        <v>26</v>
      </c>
      <c r="O26">
        <v>26572</v>
      </c>
      <c r="P26">
        <v>318864</v>
      </c>
      <c r="Q26">
        <v>201600</v>
      </c>
      <c r="R26">
        <v>117264</v>
      </c>
      <c r="S26">
        <v>36.799999999999997</v>
      </c>
      <c r="T26">
        <v>2.5000000000000001E-2</v>
      </c>
      <c r="U26">
        <v>7971.6</v>
      </c>
    </row>
    <row r="27" spans="1:21" x14ac:dyDescent="0.2">
      <c r="A27" t="s">
        <v>88</v>
      </c>
      <c r="B27" t="s">
        <v>30</v>
      </c>
      <c r="C27" t="s">
        <v>50</v>
      </c>
      <c r="D27" t="s">
        <v>67</v>
      </c>
      <c r="E27" t="s">
        <v>41</v>
      </c>
      <c r="F27" t="s">
        <v>26</v>
      </c>
      <c r="G27" t="s">
        <v>27</v>
      </c>
      <c r="H27" t="s">
        <v>42</v>
      </c>
      <c r="I27">
        <v>4</v>
      </c>
      <c r="J27">
        <v>35000</v>
      </c>
      <c r="K27">
        <v>21000</v>
      </c>
      <c r="L27">
        <v>0.152</v>
      </c>
      <c r="M27">
        <v>1</v>
      </c>
      <c r="N27">
        <v>37</v>
      </c>
      <c r="O27">
        <v>29680</v>
      </c>
      <c r="P27">
        <v>118720</v>
      </c>
      <c r="Q27">
        <v>84000</v>
      </c>
      <c r="R27">
        <v>34720</v>
      </c>
      <c r="S27">
        <v>29.2</v>
      </c>
      <c r="T27">
        <v>2.5000000000000001E-2</v>
      </c>
      <c r="U27">
        <v>2968</v>
      </c>
    </row>
    <row r="28" spans="1:21" x14ac:dyDescent="0.2">
      <c r="A28" t="s">
        <v>89</v>
      </c>
      <c r="B28" t="s">
        <v>22</v>
      </c>
      <c r="C28" t="s">
        <v>50</v>
      </c>
      <c r="D28" t="s">
        <v>67</v>
      </c>
      <c r="E28" t="s">
        <v>41</v>
      </c>
      <c r="F28" t="s">
        <v>46</v>
      </c>
      <c r="G28" t="s">
        <v>47</v>
      </c>
      <c r="H28" t="s">
        <v>42</v>
      </c>
      <c r="I28">
        <v>2</v>
      </c>
      <c r="J28">
        <v>95000</v>
      </c>
      <c r="K28">
        <v>57000</v>
      </c>
      <c r="L28">
        <v>0.127</v>
      </c>
      <c r="M28">
        <v>1</v>
      </c>
      <c r="N28">
        <v>18</v>
      </c>
      <c r="O28">
        <v>82935</v>
      </c>
      <c r="P28">
        <v>165870</v>
      </c>
      <c r="Q28">
        <v>114000</v>
      </c>
      <c r="R28">
        <v>51870</v>
      </c>
      <c r="S28">
        <v>31.3</v>
      </c>
      <c r="T28">
        <v>2.5000000000000001E-2</v>
      </c>
      <c r="U28">
        <v>4146.75</v>
      </c>
    </row>
    <row r="29" spans="1:21" x14ac:dyDescent="0.2">
      <c r="A29" t="s">
        <v>90</v>
      </c>
      <c r="B29" t="s">
        <v>22</v>
      </c>
      <c r="C29" t="s">
        <v>23</v>
      </c>
      <c r="D29" t="s">
        <v>67</v>
      </c>
      <c r="E29" t="s">
        <v>41</v>
      </c>
      <c r="F29" t="s">
        <v>46</v>
      </c>
      <c r="G29" t="s">
        <v>47</v>
      </c>
      <c r="H29" t="s">
        <v>64</v>
      </c>
      <c r="I29">
        <v>9</v>
      </c>
      <c r="J29">
        <v>95000</v>
      </c>
      <c r="K29">
        <v>57000</v>
      </c>
      <c r="L29">
        <v>0.13300000000000001</v>
      </c>
      <c r="M29">
        <v>1</v>
      </c>
      <c r="N29">
        <v>39</v>
      </c>
      <c r="O29">
        <v>82365</v>
      </c>
      <c r="P29">
        <v>741285</v>
      </c>
      <c r="Q29">
        <v>513000</v>
      </c>
      <c r="R29">
        <v>228285</v>
      </c>
      <c r="S29">
        <v>30.8</v>
      </c>
      <c r="T29">
        <v>2.5000000000000001E-2</v>
      </c>
      <c r="U29">
        <v>18532.12</v>
      </c>
    </row>
    <row r="30" spans="1:21" x14ac:dyDescent="0.2">
      <c r="A30" t="s">
        <v>91</v>
      </c>
      <c r="B30" t="s">
        <v>22</v>
      </c>
      <c r="C30" t="s">
        <v>35</v>
      </c>
      <c r="D30" t="s">
        <v>67</v>
      </c>
      <c r="E30" t="s">
        <v>41</v>
      </c>
      <c r="F30" t="s">
        <v>62</v>
      </c>
      <c r="G30" t="s">
        <v>57</v>
      </c>
      <c r="H30" t="s">
        <v>70</v>
      </c>
      <c r="I30">
        <v>12</v>
      </c>
      <c r="J30">
        <v>45000</v>
      </c>
      <c r="K30">
        <v>27000</v>
      </c>
      <c r="L30">
        <v>0.14899999999999999</v>
      </c>
      <c r="M30">
        <v>0</v>
      </c>
      <c r="N30">
        <v>4</v>
      </c>
      <c r="O30">
        <v>38295</v>
      </c>
      <c r="P30">
        <v>459540</v>
      </c>
      <c r="Q30">
        <v>324000</v>
      </c>
      <c r="R30">
        <v>135540</v>
      </c>
      <c r="S30">
        <v>29.5</v>
      </c>
      <c r="T30">
        <v>2.5000000000000001E-2</v>
      </c>
      <c r="U30">
        <v>11488.5</v>
      </c>
    </row>
    <row r="31" spans="1:21" x14ac:dyDescent="0.2">
      <c r="A31" t="s">
        <v>92</v>
      </c>
      <c r="B31" t="s">
        <v>30</v>
      </c>
      <c r="C31" t="s">
        <v>50</v>
      </c>
      <c r="D31" t="s">
        <v>67</v>
      </c>
      <c r="E31" t="s">
        <v>41</v>
      </c>
      <c r="F31" t="s">
        <v>46</v>
      </c>
      <c r="G31" t="s">
        <v>47</v>
      </c>
      <c r="H31" t="s">
        <v>64</v>
      </c>
      <c r="I31">
        <v>3</v>
      </c>
      <c r="J31">
        <v>95000</v>
      </c>
      <c r="K31">
        <v>57000</v>
      </c>
      <c r="L31">
        <v>0.113</v>
      </c>
      <c r="M31">
        <v>1</v>
      </c>
      <c r="N31">
        <v>11</v>
      </c>
      <c r="O31">
        <v>84265</v>
      </c>
      <c r="P31">
        <v>252795</v>
      </c>
      <c r="Q31">
        <v>171000</v>
      </c>
      <c r="R31">
        <v>81795</v>
      </c>
      <c r="S31">
        <v>32.4</v>
      </c>
      <c r="T31">
        <v>2.5000000000000001E-2</v>
      </c>
      <c r="U31">
        <v>6319.88</v>
      </c>
    </row>
    <row r="32" spans="1:21" x14ac:dyDescent="0.2">
      <c r="A32" t="s">
        <v>93</v>
      </c>
      <c r="B32" t="s">
        <v>22</v>
      </c>
      <c r="C32" t="s">
        <v>81</v>
      </c>
      <c r="D32" t="s">
        <v>40</v>
      </c>
      <c r="E32" t="s">
        <v>41</v>
      </c>
      <c r="F32" t="s">
        <v>73</v>
      </c>
      <c r="G32" t="s">
        <v>74</v>
      </c>
      <c r="H32" t="s">
        <v>64</v>
      </c>
      <c r="I32">
        <v>8</v>
      </c>
      <c r="J32">
        <v>22000</v>
      </c>
      <c r="K32">
        <v>13200</v>
      </c>
      <c r="L32">
        <v>0.113</v>
      </c>
      <c r="M32">
        <v>1</v>
      </c>
      <c r="N32">
        <v>10</v>
      </c>
      <c r="O32">
        <v>19514</v>
      </c>
      <c r="P32">
        <v>156112</v>
      </c>
      <c r="Q32">
        <v>105600</v>
      </c>
      <c r="R32">
        <v>50512</v>
      </c>
      <c r="S32">
        <v>32.4</v>
      </c>
      <c r="T32">
        <v>2.5000000000000001E-2</v>
      </c>
      <c r="U32">
        <v>3902.8</v>
      </c>
    </row>
    <row r="33" spans="1:21" x14ac:dyDescent="0.2">
      <c r="A33" t="s">
        <v>94</v>
      </c>
      <c r="B33" t="s">
        <v>30</v>
      </c>
      <c r="C33" t="s">
        <v>35</v>
      </c>
      <c r="D33" t="s">
        <v>67</v>
      </c>
      <c r="E33" t="s">
        <v>41</v>
      </c>
      <c r="F33" t="s">
        <v>62</v>
      </c>
      <c r="G33" t="s">
        <v>57</v>
      </c>
      <c r="H33" t="s">
        <v>70</v>
      </c>
      <c r="I33">
        <v>7</v>
      </c>
      <c r="J33">
        <v>45000</v>
      </c>
      <c r="K33">
        <v>27000</v>
      </c>
      <c r="L33">
        <v>0.11899999999999999</v>
      </c>
      <c r="M33">
        <v>0</v>
      </c>
      <c r="N33">
        <v>31</v>
      </c>
      <c r="O33">
        <v>39645</v>
      </c>
      <c r="P33">
        <v>277515</v>
      </c>
      <c r="Q33">
        <v>189000</v>
      </c>
      <c r="R33">
        <v>88515</v>
      </c>
      <c r="S33">
        <v>31.9</v>
      </c>
      <c r="T33">
        <v>2.5000000000000001E-2</v>
      </c>
      <c r="U33">
        <v>6937.88</v>
      </c>
    </row>
    <row r="34" spans="1:21" x14ac:dyDescent="0.2">
      <c r="A34" t="s">
        <v>95</v>
      </c>
      <c r="B34" t="s">
        <v>22</v>
      </c>
      <c r="C34" t="s">
        <v>35</v>
      </c>
      <c r="D34" t="s">
        <v>40</v>
      </c>
      <c r="E34" t="s">
        <v>41</v>
      </c>
      <c r="F34" t="s">
        <v>62</v>
      </c>
      <c r="G34" t="s">
        <v>57</v>
      </c>
      <c r="H34" t="s">
        <v>28</v>
      </c>
      <c r="I34">
        <v>12</v>
      </c>
      <c r="J34">
        <v>45000</v>
      </c>
      <c r="K34">
        <v>27000</v>
      </c>
      <c r="L34">
        <v>4.2000000000000003E-2</v>
      </c>
      <c r="M34">
        <v>1</v>
      </c>
      <c r="N34">
        <v>9</v>
      </c>
      <c r="O34">
        <v>43110</v>
      </c>
      <c r="P34">
        <v>517320</v>
      </c>
      <c r="Q34">
        <v>324000</v>
      </c>
      <c r="R34">
        <v>193320</v>
      </c>
      <c r="S34">
        <v>37.4</v>
      </c>
      <c r="T34">
        <v>2.5000000000000001E-2</v>
      </c>
      <c r="U34">
        <v>12933</v>
      </c>
    </row>
    <row r="35" spans="1:21" x14ac:dyDescent="0.2">
      <c r="A35" t="s">
        <v>96</v>
      </c>
      <c r="B35" t="s">
        <v>22</v>
      </c>
      <c r="C35" t="s">
        <v>44</v>
      </c>
      <c r="D35" t="s">
        <v>67</v>
      </c>
      <c r="E35" t="s">
        <v>41</v>
      </c>
      <c r="F35" t="s">
        <v>73</v>
      </c>
      <c r="G35" t="s">
        <v>74</v>
      </c>
      <c r="H35" t="s">
        <v>32</v>
      </c>
      <c r="I35">
        <v>2</v>
      </c>
      <c r="J35">
        <v>22000</v>
      </c>
      <c r="K35">
        <v>13200</v>
      </c>
      <c r="L35">
        <v>0.188</v>
      </c>
      <c r="M35">
        <v>0</v>
      </c>
      <c r="N35">
        <v>14</v>
      </c>
      <c r="O35">
        <v>17864</v>
      </c>
      <c r="P35">
        <v>35728</v>
      </c>
      <c r="Q35">
        <v>26400</v>
      </c>
      <c r="R35">
        <v>9328</v>
      </c>
      <c r="S35">
        <v>26.1</v>
      </c>
      <c r="T35">
        <v>2.5000000000000001E-2</v>
      </c>
      <c r="U35">
        <v>893.2</v>
      </c>
    </row>
    <row r="36" spans="1:21" x14ac:dyDescent="0.2">
      <c r="A36" t="s">
        <v>97</v>
      </c>
      <c r="B36" t="s">
        <v>22</v>
      </c>
      <c r="C36" t="s">
        <v>35</v>
      </c>
      <c r="D36" t="s">
        <v>45</v>
      </c>
      <c r="E36" t="s">
        <v>25</v>
      </c>
      <c r="F36" t="s">
        <v>36</v>
      </c>
      <c r="G36" t="s">
        <v>37</v>
      </c>
      <c r="H36" t="s">
        <v>48</v>
      </c>
      <c r="I36">
        <v>10</v>
      </c>
      <c r="J36">
        <v>8500</v>
      </c>
      <c r="K36">
        <v>5100</v>
      </c>
      <c r="L36">
        <v>4.8000000000000001E-2</v>
      </c>
      <c r="M36">
        <v>1</v>
      </c>
      <c r="N36">
        <v>21</v>
      </c>
      <c r="O36">
        <v>8092</v>
      </c>
      <c r="P36">
        <v>80920</v>
      </c>
      <c r="Q36">
        <v>51000</v>
      </c>
      <c r="R36">
        <v>29920</v>
      </c>
      <c r="S36">
        <v>37</v>
      </c>
      <c r="T36">
        <v>0.06</v>
      </c>
      <c r="U36">
        <v>4855.2</v>
      </c>
    </row>
    <row r="37" spans="1:21" x14ac:dyDescent="0.2">
      <c r="A37" t="s">
        <v>98</v>
      </c>
      <c r="B37" t="s">
        <v>54</v>
      </c>
      <c r="C37" t="s">
        <v>50</v>
      </c>
      <c r="D37" t="s">
        <v>67</v>
      </c>
      <c r="E37" t="s">
        <v>41</v>
      </c>
      <c r="F37" t="s">
        <v>51</v>
      </c>
      <c r="G37" t="s">
        <v>37</v>
      </c>
      <c r="H37" t="s">
        <v>32</v>
      </c>
      <c r="I37">
        <v>10</v>
      </c>
      <c r="J37">
        <v>32000</v>
      </c>
      <c r="K37">
        <v>19200</v>
      </c>
      <c r="L37">
        <v>5.0000000000000001E-3</v>
      </c>
      <c r="M37">
        <v>0</v>
      </c>
      <c r="N37">
        <v>8</v>
      </c>
      <c r="O37">
        <v>31840</v>
      </c>
      <c r="P37">
        <v>318400</v>
      </c>
      <c r="Q37">
        <v>192000</v>
      </c>
      <c r="R37">
        <v>126400</v>
      </c>
      <c r="S37">
        <v>39.700000000000003</v>
      </c>
      <c r="T37">
        <v>2.5000000000000001E-2</v>
      </c>
      <c r="U37">
        <v>7960</v>
      </c>
    </row>
    <row r="38" spans="1:21" x14ac:dyDescent="0.2">
      <c r="A38" t="s">
        <v>99</v>
      </c>
      <c r="B38" t="s">
        <v>22</v>
      </c>
      <c r="C38" t="s">
        <v>35</v>
      </c>
      <c r="D38" t="s">
        <v>45</v>
      </c>
      <c r="E38" t="s">
        <v>25</v>
      </c>
      <c r="F38" t="s">
        <v>56</v>
      </c>
      <c r="G38" t="s">
        <v>57</v>
      </c>
      <c r="H38" t="s">
        <v>75</v>
      </c>
      <c r="I38">
        <v>8</v>
      </c>
      <c r="J38">
        <v>180000</v>
      </c>
      <c r="K38">
        <v>108000</v>
      </c>
      <c r="L38">
        <v>0</v>
      </c>
      <c r="M38">
        <v>1</v>
      </c>
      <c r="N38">
        <v>32</v>
      </c>
      <c r="O38">
        <v>180000</v>
      </c>
      <c r="P38">
        <v>1440000</v>
      </c>
      <c r="Q38">
        <v>864000</v>
      </c>
      <c r="R38">
        <v>576000</v>
      </c>
      <c r="S38">
        <v>40</v>
      </c>
      <c r="T38">
        <v>0.06</v>
      </c>
      <c r="U38">
        <v>86400</v>
      </c>
    </row>
    <row r="39" spans="1:21" x14ac:dyDescent="0.2">
      <c r="A39" t="s">
        <v>100</v>
      </c>
      <c r="B39" t="s">
        <v>22</v>
      </c>
      <c r="C39" t="s">
        <v>23</v>
      </c>
      <c r="D39" t="s">
        <v>40</v>
      </c>
      <c r="E39" t="s">
        <v>41</v>
      </c>
      <c r="F39" t="s">
        <v>36</v>
      </c>
      <c r="G39" t="s">
        <v>37</v>
      </c>
      <c r="H39" t="s">
        <v>75</v>
      </c>
      <c r="I39">
        <v>1</v>
      </c>
      <c r="J39">
        <v>8500</v>
      </c>
      <c r="K39">
        <v>5100</v>
      </c>
      <c r="L39">
        <v>5.5E-2</v>
      </c>
      <c r="M39">
        <v>1</v>
      </c>
      <c r="N39">
        <v>26</v>
      </c>
      <c r="O39">
        <v>8032.5</v>
      </c>
      <c r="P39">
        <v>8032.5</v>
      </c>
      <c r="Q39">
        <v>5100</v>
      </c>
      <c r="R39">
        <v>2932.5</v>
      </c>
      <c r="S39">
        <v>36.5</v>
      </c>
      <c r="T39">
        <v>2.5000000000000001E-2</v>
      </c>
      <c r="U39">
        <v>200.81</v>
      </c>
    </row>
    <row r="40" spans="1:21" x14ac:dyDescent="0.2">
      <c r="A40" t="s">
        <v>101</v>
      </c>
      <c r="B40" t="s">
        <v>22</v>
      </c>
      <c r="C40" t="s">
        <v>50</v>
      </c>
      <c r="D40" t="s">
        <v>67</v>
      </c>
      <c r="E40" t="s">
        <v>41</v>
      </c>
      <c r="F40" t="s">
        <v>62</v>
      </c>
      <c r="G40" t="s">
        <v>57</v>
      </c>
      <c r="H40" t="s">
        <v>59</v>
      </c>
      <c r="I40">
        <v>14</v>
      </c>
      <c r="J40">
        <v>45000</v>
      </c>
      <c r="K40">
        <v>27000</v>
      </c>
      <c r="L40">
        <v>5.2999999999999999E-2</v>
      </c>
      <c r="M40">
        <v>1</v>
      </c>
      <c r="N40">
        <v>22</v>
      </c>
      <c r="O40">
        <v>42615</v>
      </c>
      <c r="P40">
        <v>596610</v>
      </c>
      <c r="Q40">
        <v>378000</v>
      </c>
      <c r="R40">
        <v>218610</v>
      </c>
      <c r="S40">
        <v>36.6</v>
      </c>
      <c r="T40">
        <v>2.5000000000000001E-2</v>
      </c>
      <c r="U40">
        <v>14915.25</v>
      </c>
    </row>
    <row r="41" spans="1:21" x14ac:dyDescent="0.2">
      <c r="A41" t="s">
        <v>102</v>
      </c>
      <c r="B41" t="s">
        <v>34</v>
      </c>
      <c r="C41" t="s">
        <v>44</v>
      </c>
      <c r="D41" t="s">
        <v>67</v>
      </c>
      <c r="E41" t="s">
        <v>41</v>
      </c>
      <c r="F41" t="s">
        <v>56</v>
      </c>
      <c r="G41" t="s">
        <v>57</v>
      </c>
      <c r="H41" t="s">
        <v>32</v>
      </c>
      <c r="I41">
        <v>5</v>
      </c>
      <c r="J41">
        <v>180000</v>
      </c>
      <c r="K41">
        <v>108000</v>
      </c>
      <c r="L41">
        <v>0.17399999999999999</v>
      </c>
      <c r="M41">
        <v>1</v>
      </c>
      <c r="N41">
        <v>4</v>
      </c>
      <c r="O41">
        <v>148680</v>
      </c>
      <c r="P41">
        <v>743400</v>
      </c>
      <c r="Q41">
        <v>540000</v>
      </c>
      <c r="R41">
        <v>203400</v>
      </c>
      <c r="S41">
        <v>27.4</v>
      </c>
      <c r="T41">
        <v>2.5000000000000001E-2</v>
      </c>
      <c r="U41">
        <v>18585</v>
      </c>
    </row>
    <row r="42" spans="1:21" x14ac:dyDescent="0.2">
      <c r="A42" t="s">
        <v>103</v>
      </c>
      <c r="B42" t="s">
        <v>22</v>
      </c>
      <c r="C42" t="s">
        <v>35</v>
      </c>
      <c r="D42" t="s">
        <v>40</v>
      </c>
      <c r="E42" t="s">
        <v>41</v>
      </c>
      <c r="F42" t="s">
        <v>62</v>
      </c>
      <c r="G42" t="s">
        <v>57</v>
      </c>
      <c r="H42" t="s">
        <v>38</v>
      </c>
      <c r="I42">
        <v>5</v>
      </c>
      <c r="J42">
        <v>45000</v>
      </c>
      <c r="K42">
        <v>27000</v>
      </c>
      <c r="L42">
        <v>0.16800000000000001</v>
      </c>
      <c r="M42">
        <v>1</v>
      </c>
      <c r="N42">
        <v>26</v>
      </c>
      <c r="O42">
        <v>37440</v>
      </c>
      <c r="P42">
        <v>187200</v>
      </c>
      <c r="Q42">
        <v>135000</v>
      </c>
      <c r="R42">
        <v>52200</v>
      </c>
      <c r="S42">
        <v>27.9</v>
      </c>
      <c r="T42">
        <v>2.5000000000000001E-2</v>
      </c>
      <c r="U42">
        <v>4680</v>
      </c>
    </row>
    <row r="43" spans="1:21" x14ac:dyDescent="0.2">
      <c r="A43" t="s">
        <v>104</v>
      </c>
      <c r="B43" t="s">
        <v>54</v>
      </c>
      <c r="C43" t="s">
        <v>35</v>
      </c>
      <c r="D43" t="s">
        <v>40</v>
      </c>
      <c r="E43" t="s">
        <v>41</v>
      </c>
      <c r="F43" t="s">
        <v>86</v>
      </c>
      <c r="G43" t="s">
        <v>87</v>
      </c>
      <c r="H43" t="s">
        <v>52</v>
      </c>
      <c r="I43">
        <v>8</v>
      </c>
      <c r="J43">
        <v>28000</v>
      </c>
      <c r="K43">
        <v>16800</v>
      </c>
      <c r="L43">
        <v>0.10100000000000001</v>
      </c>
      <c r="M43">
        <v>1</v>
      </c>
      <c r="N43">
        <v>28</v>
      </c>
      <c r="O43">
        <v>25172</v>
      </c>
      <c r="P43">
        <v>201376</v>
      </c>
      <c r="Q43">
        <v>134400</v>
      </c>
      <c r="R43">
        <v>66976</v>
      </c>
      <c r="S43">
        <v>33.299999999999997</v>
      </c>
      <c r="T43">
        <v>2.5000000000000001E-2</v>
      </c>
      <c r="U43">
        <v>5034.3999999999996</v>
      </c>
    </row>
    <row r="44" spans="1:21" x14ac:dyDescent="0.2">
      <c r="A44" t="s">
        <v>105</v>
      </c>
      <c r="B44" t="s">
        <v>22</v>
      </c>
      <c r="C44" t="s">
        <v>35</v>
      </c>
      <c r="D44" t="s">
        <v>55</v>
      </c>
      <c r="E44" t="s">
        <v>41</v>
      </c>
      <c r="F44" t="s">
        <v>73</v>
      </c>
      <c r="G44" t="s">
        <v>74</v>
      </c>
      <c r="H44" t="s">
        <v>28</v>
      </c>
      <c r="I44">
        <v>11</v>
      </c>
      <c r="J44">
        <v>22000</v>
      </c>
      <c r="K44">
        <v>13200</v>
      </c>
      <c r="L44">
        <v>0</v>
      </c>
      <c r="M44">
        <v>1</v>
      </c>
      <c r="N44">
        <v>13</v>
      </c>
      <c r="O44">
        <v>22000</v>
      </c>
      <c r="P44">
        <v>242000</v>
      </c>
      <c r="Q44">
        <v>145200</v>
      </c>
      <c r="R44">
        <v>96800</v>
      </c>
      <c r="S44">
        <v>40</v>
      </c>
      <c r="T44">
        <v>0.04</v>
      </c>
      <c r="U44">
        <v>9680</v>
      </c>
    </row>
    <row r="45" spans="1:21" x14ac:dyDescent="0.2">
      <c r="A45" t="s">
        <v>106</v>
      </c>
      <c r="B45" t="s">
        <v>34</v>
      </c>
      <c r="C45" t="s">
        <v>50</v>
      </c>
      <c r="D45" t="s">
        <v>24</v>
      </c>
      <c r="E45" t="s">
        <v>25</v>
      </c>
      <c r="F45" t="s">
        <v>46</v>
      </c>
      <c r="G45" t="s">
        <v>47</v>
      </c>
      <c r="H45" t="s">
        <v>52</v>
      </c>
      <c r="I45">
        <v>13</v>
      </c>
      <c r="J45">
        <v>95000</v>
      </c>
      <c r="K45">
        <v>57000</v>
      </c>
      <c r="L45">
        <v>6.5000000000000002E-2</v>
      </c>
      <c r="M45">
        <v>0</v>
      </c>
      <c r="N45">
        <v>35</v>
      </c>
      <c r="O45">
        <v>88825</v>
      </c>
      <c r="P45">
        <v>1154725</v>
      </c>
      <c r="Q45">
        <v>741000</v>
      </c>
      <c r="R45">
        <v>413725</v>
      </c>
      <c r="S45">
        <v>35.799999999999997</v>
      </c>
      <c r="T45">
        <v>0.06</v>
      </c>
      <c r="U45">
        <v>69283.5</v>
      </c>
    </row>
    <row r="46" spans="1:21" x14ac:dyDescent="0.2">
      <c r="A46" t="s">
        <v>107</v>
      </c>
      <c r="B46" t="s">
        <v>22</v>
      </c>
      <c r="C46" t="s">
        <v>35</v>
      </c>
      <c r="D46" t="s">
        <v>67</v>
      </c>
      <c r="E46" t="s">
        <v>41</v>
      </c>
      <c r="F46" t="s">
        <v>36</v>
      </c>
      <c r="G46" t="s">
        <v>37</v>
      </c>
      <c r="H46" t="s">
        <v>48</v>
      </c>
      <c r="I46">
        <v>4</v>
      </c>
      <c r="J46">
        <v>8500</v>
      </c>
      <c r="K46">
        <v>5100</v>
      </c>
      <c r="L46">
        <v>7.6999999999999999E-2</v>
      </c>
      <c r="M46">
        <v>1</v>
      </c>
      <c r="N46">
        <v>21</v>
      </c>
      <c r="O46">
        <v>7845.5</v>
      </c>
      <c r="P46">
        <v>31382</v>
      </c>
      <c r="Q46">
        <v>20400</v>
      </c>
      <c r="R46">
        <v>10982</v>
      </c>
      <c r="S46">
        <v>35</v>
      </c>
      <c r="T46">
        <v>2.5000000000000001E-2</v>
      </c>
      <c r="U46">
        <v>784.55</v>
      </c>
    </row>
    <row r="47" spans="1:21" x14ac:dyDescent="0.2">
      <c r="A47" t="s">
        <v>108</v>
      </c>
      <c r="B47" t="s">
        <v>30</v>
      </c>
      <c r="C47" t="s">
        <v>81</v>
      </c>
      <c r="D47" t="s">
        <v>55</v>
      </c>
      <c r="E47" t="s">
        <v>41</v>
      </c>
      <c r="F47" t="s">
        <v>51</v>
      </c>
      <c r="G47" t="s">
        <v>37</v>
      </c>
      <c r="H47" t="s">
        <v>52</v>
      </c>
      <c r="I47">
        <v>8</v>
      </c>
      <c r="J47">
        <v>32000</v>
      </c>
      <c r="K47">
        <v>19200</v>
      </c>
      <c r="L47">
        <v>0.13900000000000001</v>
      </c>
      <c r="M47">
        <v>0</v>
      </c>
      <c r="N47">
        <v>39</v>
      </c>
      <c r="O47">
        <v>27552</v>
      </c>
      <c r="P47">
        <v>220416</v>
      </c>
      <c r="Q47">
        <v>153600</v>
      </c>
      <c r="R47">
        <v>66816</v>
      </c>
      <c r="S47">
        <v>30.3</v>
      </c>
      <c r="T47">
        <v>2.5000000000000001E-2</v>
      </c>
      <c r="U47">
        <v>5510.4</v>
      </c>
    </row>
    <row r="48" spans="1:21" x14ac:dyDescent="0.2">
      <c r="A48" t="s">
        <v>109</v>
      </c>
      <c r="B48" t="s">
        <v>22</v>
      </c>
      <c r="C48" t="s">
        <v>35</v>
      </c>
      <c r="D48" t="s">
        <v>67</v>
      </c>
      <c r="E48" t="s">
        <v>41</v>
      </c>
      <c r="F48" t="s">
        <v>26</v>
      </c>
      <c r="G48" t="s">
        <v>27</v>
      </c>
      <c r="H48" t="s">
        <v>28</v>
      </c>
      <c r="I48">
        <v>6</v>
      </c>
      <c r="J48">
        <v>35000</v>
      </c>
      <c r="K48">
        <v>21000</v>
      </c>
      <c r="L48">
        <v>0.19500000000000001</v>
      </c>
      <c r="M48">
        <v>0</v>
      </c>
      <c r="N48">
        <v>12</v>
      </c>
      <c r="O48">
        <v>28175</v>
      </c>
      <c r="P48">
        <v>169050</v>
      </c>
      <c r="Q48">
        <v>126000</v>
      </c>
      <c r="R48">
        <v>43050</v>
      </c>
      <c r="S48">
        <v>25.5</v>
      </c>
      <c r="T48">
        <v>2.5000000000000001E-2</v>
      </c>
      <c r="U48">
        <v>4226.25</v>
      </c>
    </row>
    <row r="49" spans="1:21" x14ac:dyDescent="0.2">
      <c r="A49" t="s">
        <v>110</v>
      </c>
      <c r="B49" t="s">
        <v>22</v>
      </c>
      <c r="C49" t="s">
        <v>23</v>
      </c>
      <c r="D49" t="s">
        <v>67</v>
      </c>
      <c r="E49" t="s">
        <v>41</v>
      </c>
      <c r="F49" t="s">
        <v>46</v>
      </c>
      <c r="G49" t="s">
        <v>47</v>
      </c>
      <c r="H49" t="s">
        <v>38</v>
      </c>
      <c r="I49">
        <v>10</v>
      </c>
      <c r="J49">
        <v>95000</v>
      </c>
      <c r="K49">
        <v>57000</v>
      </c>
      <c r="L49">
        <v>0.161</v>
      </c>
      <c r="M49">
        <v>0</v>
      </c>
      <c r="N49">
        <v>28</v>
      </c>
      <c r="O49">
        <v>79705</v>
      </c>
      <c r="P49">
        <v>797050</v>
      </c>
      <c r="Q49">
        <v>570000</v>
      </c>
      <c r="R49">
        <v>227050</v>
      </c>
      <c r="S49">
        <v>28.5</v>
      </c>
      <c r="T49">
        <v>2.5000000000000001E-2</v>
      </c>
      <c r="U49">
        <v>19926.25</v>
      </c>
    </row>
    <row r="50" spans="1:21" x14ac:dyDescent="0.2">
      <c r="A50" t="s">
        <v>111</v>
      </c>
      <c r="B50" t="s">
        <v>22</v>
      </c>
      <c r="C50" t="s">
        <v>35</v>
      </c>
      <c r="D50" t="s">
        <v>67</v>
      </c>
      <c r="E50" t="s">
        <v>41</v>
      </c>
      <c r="F50" t="s">
        <v>62</v>
      </c>
      <c r="G50" t="s">
        <v>57</v>
      </c>
      <c r="H50" t="s">
        <v>48</v>
      </c>
      <c r="I50">
        <v>12</v>
      </c>
      <c r="J50">
        <v>45000</v>
      </c>
      <c r="K50">
        <v>27000</v>
      </c>
      <c r="L50">
        <v>0.09</v>
      </c>
      <c r="M50">
        <v>1</v>
      </c>
      <c r="N50">
        <v>23</v>
      </c>
      <c r="O50">
        <v>40950</v>
      </c>
      <c r="P50">
        <v>491400</v>
      </c>
      <c r="Q50">
        <v>324000</v>
      </c>
      <c r="R50">
        <v>167400</v>
      </c>
      <c r="S50">
        <v>34.1</v>
      </c>
      <c r="T50">
        <v>2.5000000000000001E-2</v>
      </c>
      <c r="U50">
        <v>12285</v>
      </c>
    </row>
    <row r="51" spans="1:21" x14ac:dyDescent="0.2">
      <c r="A51" t="s">
        <v>112</v>
      </c>
      <c r="B51" t="s">
        <v>30</v>
      </c>
      <c r="C51" t="s">
        <v>35</v>
      </c>
      <c r="D51" t="s">
        <v>67</v>
      </c>
      <c r="E51" t="s">
        <v>41</v>
      </c>
      <c r="F51" t="s">
        <v>36</v>
      </c>
      <c r="G51" t="s">
        <v>37</v>
      </c>
      <c r="H51" t="s">
        <v>70</v>
      </c>
      <c r="I51">
        <v>1</v>
      </c>
      <c r="J51">
        <v>8500</v>
      </c>
      <c r="K51">
        <v>5100</v>
      </c>
      <c r="L51">
        <v>0.13600000000000001</v>
      </c>
      <c r="M51">
        <v>1</v>
      </c>
      <c r="N51">
        <v>24</v>
      </c>
      <c r="O51">
        <v>7344</v>
      </c>
      <c r="P51">
        <v>7344</v>
      </c>
      <c r="Q51">
        <v>5100</v>
      </c>
      <c r="R51">
        <v>2244</v>
      </c>
      <c r="S51">
        <v>30.6</v>
      </c>
      <c r="T51">
        <v>2.5000000000000001E-2</v>
      </c>
      <c r="U51">
        <v>183.6</v>
      </c>
    </row>
    <row r="52" spans="1:21" x14ac:dyDescent="0.2">
      <c r="A52" t="s">
        <v>113</v>
      </c>
      <c r="B52" t="s">
        <v>54</v>
      </c>
      <c r="C52" t="s">
        <v>44</v>
      </c>
      <c r="D52" t="s">
        <v>83</v>
      </c>
      <c r="E52" t="s">
        <v>25</v>
      </c>
      <c r="F52" t="s">
        <v>56</v>
      </c>
      <c r="G52" t="s">
        <v>57</v>
      </c>
      <c r="H52" t="s">
        <v>48</v>
      </c>
      <c r="I52">
        <v>12</v>
      </c>
      <c r="J52">
        <v>180000</v>
      </c>
      <c r="K52">
        <v>108000</v>
      </c>
      <c r="L52">
        <v>9.9000000000000005E-2</v>
      </c>
      <c r="M52">
        <v>1</v>
      </c>
      <c r="N52">
        <v>16</v>
      </c>
      <c r="O52">
        <v>162180</v>
      </c>
      <c r="P52">
        <v>1946160</v>
      </c>
      <c r="Q52">
        <v>1296000</v>
      </c>
      <c r="R52">
        <v>650160</v>
      </c>
      <c r="S52">
        <v>33.4</v>
      </c>
      <c r="T52">
        <v>0.06</v>
      </c>
      <c r="U52">
        <v>116769.60000000001</v>
      </c>
    </row>
    <row r="53" spans="1:21" x14ac:dyDescent="0.2">
      <c r="A53" t="s">
        <v>114</v>
      </c>
      <c r="B53" t="s">
        <v>30</v>
      </c>
      <c r="C53" t="s">
        <v>35</v>
      </c>
      <c r="D53" t="s">
        <v>67</v>
      </c>
      <c r="E53" t="s">
        <v>41</v>
      </c>
      <c r="F53" t="s">
        <v>36</v>
      </c>
      <c r="G53" t="s">
        <v>37</v>
      </c>
      <c r="H53" t="s">
        <v>59</v>
      </c>
      <c r="I53">
        <v>9</v>
      </c>
      <c r="J53">
        <v>8500</v>
      </c>
      <c r="K53">
        <v>5100</v>
      </c>
      <c r="L53">
        <v>3.5999999999999997E-2</v>
      </c>
      <c r="M53">
        <v>0</v>
      </c>
      <c r="N53">
        <v>26</v>
      </c>
      <c r="O53">
        <v>8194</v>
      </c>
      <c r="P53">
        <v>73746</v>
      </c>
      <c r="Q53">
        <v>45900</v>
      </c>
      <c r="R53">
        <v>27846</v>
      </c>
      <c r="S53">
        <v>37.799999999999997</v>
      </c>
      <c r="T53">
        <v>2.5000000000000001E-2</v>
      </c>
      <c r="U53">
        <v>1843.65</v>
      </c>
    </row>
    <row r="54" spans="1:21" x14ac:dyDescent="0.2">
      <c r="A54" t="s">
        <v>115</v>
      </c>
      <c r="B54" t="s">
        <v>22</v>
      </c>
      <c r="C54" t="s">
        <v>44</v>
      </c>
      <c r="D54" t="s">
        <v>67</v>
      </c>
      <c r="E54" t="s">
        <v>41</v>
      </c>
      <c r="F54" t="s">
        <v>56</v>
      </c>
      <c r="G54" t="s">
        <v>57</v>
      </c>
      <c r="H54" t="s">
        <v>32</v>
      </c>
      <c r="I54">
        <v>10</v>
      </c>
      <c r="J54">
        <v>180000</v>
      </c>
      <c r="K54">
        <v>108000</v>
      </c>
      <c r="L54">
        <v>9.5000000000000001E-2</v>
      </c>
      <c r="M54">
        <v>1</v>
      </c>
      <c r="N54">
        <v>7</v>
      </c>
      <c r="O54">
        <v>162900</v>
      </c>
      <c r="P54">
        <v>1629000</v>
      </c>
      <c r="Q54">
        <v>1080000</v>
      </c>
      <c r="R54">
        <v>549000</v>
      </c>
      <c r="S54">
        <v>33.700000000000003</v>
      </c>
      <c r="T54">
        <v>2.5000000000000001E-2</v>
      </c>
      <c r="U54">
        <v>40725</v>
      </c>
    </row>
    <row r="55" spans="1:21" x14ac:dyDescent="0.2">
      <c r="A55" t="s">
        <v>116</v>
      </c>
      <c r="B55" t="s">
        <v>34</v>
      </c>
      <c r="C55" t="s">
        <v>35</v>
      </c>
      <c r="D55" t="s">
        <v>55</v>
      </c>
      <c r="E55" t="s">
        <v>41</v>
      </c>
      <c r="F55" t="s">
        <v>62</v>
      </c>
      <c r="G55" t="s">
        <v>57</v>
      </c>
      <c r="H55" t="s">
        <v>75</v>
      </c>
      <c r="I55">
        <v>9</v>
      </c>
      <c r="J55">
        <v>45000</v>
      </c>
      <c r="K55">
        <v>27000</v>
      </c>
      <c r="L55">
        <v>0.13100000000000001</v>
      </c>
      <c r="M55">
        <v>1</v>
      </c>
      <c r="N55">
        <v>3</v>
      </c>
      <c r="O55">
        <v>39105</v>
      </c>
      <c r="P55">
        <v>351945</v>
      </c>
      <c r="Q55">
        <v>243000</v>
      </c>
      <c r="R55">
        <v>108945</v>
      </c>
      <c r="S55">
        <v>31</v>
      </c>
      <c r="T55">
        <v>2.5000000000000001E-2</v>
      </c>
      <c r="U55">
        <v>8798.6200000000008</v>
      </c>
    </row>
    <row r="56" spans="1:21" x14ac:dyDescent="0.2">
      <c r="A56" t="s">
        <v>117</v>
      </c>
      <c r="B56" t="s">
        <v>30</v>
      </c>
      <c r="C56" t="s">
        <v>81</v>
      </c>
      <c r="D56" t="s">
        <v>67</v>
      </c>
      <c r="E56" t="s">
        <v>41</v>
      </c>
      <c r="F56" t="s">
        <v>51</v>
      </c>
      <c r="G56" t="s">
        <v>37</v>
      </c>
      <c r="H56" t="s">
        <v>52</v>
      </c>
      <c r="I56">
        <v>2</v>
      </c>
      <c r="J56">
        <v>32000</v>
      </c>
      <c r="K56">
        <v>19200</v>
      </c>
      <c r="L56">
        <v>1.4999999999999999E-2</v>
      </c>
      <c r="M56">
        <v>1</v>
      </c>
      <c r="N56">
        <v>38</v>
      </c>
      <c r="O56">
        <v>31520</v>
      </c>
      <c r="P56">
        <v>63040</v>
      </c>
      <c r="Q56">
        <v>38400</v>
      </c>
      <c r="R56">
        <v>24640</v>
      </c>
      <c r="S56">
        <v>39.1</v>
      </c>
      <c r="T56">
        <v>2.5000000000000001E-2</v>
      </c>
      <c r="U56">
        <v>1576</v>
      </c>
    </row>
    <row r="57" spans="1:21" x14ac:dyDescent="0.2">
      <c r="A57" t="s">
        <v>118</v>
      </c>
      <c r="B57" t="s">
        <v>54</v>
      </c>
      <c r="C57" t="s">
        <v>35</v>
      </c>
      <c r="D57" t="s">
        <v>24</v>
      </c>
      <c r="E57" t="s">
        <v>25</v>
      </c>
      <c r="F57" t="s">
        <v>46</v>
      </c>
      <c r="G57" t="s">
        <v>47</v>
      </c>
      <c r="H57" t="s">
        <v>64</v>
      </c>
      <c r="I57">
        <v>13</v>
      </c>
      <c r="J57">
        <v>95000</v>
      </c>
      <c r="K57">
        <v>57000</v>
      </c>
      <c r="L57">
        <v>8.8999999999999996E-2</v>
      </c>
      <c r="M57">
        <v>1</v>
      </c>
      <c r="N57">
        <v>39</v>
      </c>
      <c r="O57">
        <v>86545</v>
      </c>
      <c r="P57">
        <v>1125085</v>
      </c>
      <c r="Q57">
        <v>741000</v>
      </c>
      <c r="R57">
        <v>384085</v>
      </c>
      <c r="S57">
        <v>34.1</v>
      </c>
      <c r="T57">
        <v>0.06</v>
      </c>
      <c r="U57">
        <v>67505.100000000006</v>
      </c>
    </row>
    <row r="58" spans="1:21" x14ac:dyDescent="0.2">
      <c r="A58" t="s">
        <v>119</v>
      </c>
      <c r="B58" t="s">
        <v>22</v>
      </c>
      <c r="C58" t="s">
        <v>35</v>
      </c>
      <c r="D58" t="s">
        <v>67</v>
      </c>
      <c r="E58" t="s">
        <v>41</v>
      </c>
      <c r="F58" t="s">
        <v>36</v>
      </c>
      <c r="G58" t="s">
        <v>37</v>
      </c>
      <c r="H58" t="s">
        <v>75</v>
      </c>
      <c r="I58">
        <v>13</v>
      </c>
      <c r="J58">
        <v>8500</v>
      </c>
      <c r="K58">
        <v>5100</v>
      </c>
      <c r="L58">
        <v>0.14099999999999999</v>
      </c>
      <c r="M58">
        <v>0</v>
      </c>
      <c r="N58">
        <v>25</v>
      </c>
      <c r="O58">
        <v>7301.5</v>
      </c>
      <c r="P58">
        <v>94919.5</v>
      </c>
      <c r="Q58">
        <v>66300</v>
      </c>
      <c r="R58">
        <v>28619.5</v>
      </c>
      <c r="S58">
        <v>30.2</v>
      </c>
      <c r="T58">
        <v>2.5000000000000001E-2</v>
      </c>
      <c r="U58">
        <v>2372.9899999999998</v>
      </c>
    </row>
    <row r="59" spans="1:21" x14ac:dyDescent="0.2">
      <c r="A59" t="s">
        <v>120</v>
      </c>
      <c r="B59" t="s">
        <v>30</v>
      </c>
      <c r="C59" t="s">
        <v>35</v>
      </c>
      <c r="D59" t="s">
        <v>83</v>
      </c>
      <c r="E59" t="s">
        <v>25</v>
      </c>
      <c r="F59" t="s">
        <v>46</v>
      </c>
      <c r="G59" t="s">
        <v>47</v>
      </c>
      <c r="H59" t="s">
        <v>48</v>
      </c>
      <c r="I59">
        <v>11</v>
      </c>
      <c r="J59">
        <v>95000</v>
      </c>
      <c r="K59">
        <v>57000</v>
      </c>
      <c r="L59">
        <v>3.1E-2</v>
      </c>
      <c r="M59">
        <v>1</v>
      </c>
      <c r="N59">
        <v>41</v>
      </c>
      <c r="O59">
        <v>92055</v>
      </c>
      <c r="P59">
        <v>1012605</v>
      </c>
      <c r="Q59">
        <v>627000</v>
      </c>
      <c r="R59">
        <v>385605</v>
      </c>
      <c r="S59">
        <v>38.1</v>
      </c>
      <c r="T59">
        <v>0.06</v>
      </c>
      <c r="U59">
        <v>60756.3</v>
      </c>
    </row>
    <row r="60" spans="1:21" x14ac:dyDescent="0.2">
      <c r="A60" t="s">
        <v>121</v>
      </c>
      <c r="B60" t="s">
        <v>30</v>
      </c>
      <c r="C60" t="s">
        <v>50</v>
      </c>
      <c r="D60" t="s">
        <v>67</v>
      </c>
      <c r="E60" t="s">
        <v>41</v>
      </c>
      <c r="F60" t="s">
        <v>86</v>
      </c>
      <c r="G60" t="s">
        <v>87</v>
      </c>
      <c r="H60" t="s">
        <v>52</v>
      </c>
      <c r="I60">
        <v>5</v>
      </c>
      <c r="J60">
        <v>28000</v>
      </c>
      <c r="K60">
        <v>16800</v>
      </c>
      <c r="L60">
        <v>0.03</v>
      </c>
      <c r="M60">
        <v>1</v>
      </c>
      <c r="N60">
        <v>7</v>
      </c>
      <c r="O60">
        <v>27160</v>
      </c>
      <c r="P60">
        <v>135800</v>
      </c>
      <c r="Q60">
        <v>84000</v>
      </c>
      <c r="R60">
        <v>51800</v>
      </c>
      <c r="S60">
        <v>38.1</v>
      </c>
      <c r="T60">
        <v>2.5000000000000001E-2</v>
      </c>
      <c r="U60">
        <v>3395</v>
      </c>
    </row>
    <row r="61" spans="1:21" x14ac:dyDescent="0.2">
      <c r="A61" t="s">
        <v>122</v>
      </c>
      <c r="B61" t="s">
        <v>22</v>
      </c>
      <c r="C61" t="s">
        <v>50</v>
      </c>
      <c r="D61" t="s">
        <v>31</v>
      </c>
      <c r="E61" t="s">
        <v>25</v>
      </c>
      <c r="F61" t="s">
        <v>26</v>
      </c>
      <c r="G61" t="s">
        <v>27</v>
      </c>
      <c r="H61" t="s">
        <v>28</v>
      </c>
      <c r="I61">
        <v>4</v>
      </c>
      <c r="J61">
        <v>35000</v>
      </c>
      <c r="K61">
        <v>21000</v>
      </c>
      <c r="L61">
        <v>6.4000000000000001E-2</v>
      </c>
      <c r="M61">
        <v>0</v>
      </c>
      <c r="N61">
        <v>41</v>
      </c>
      <c r="O61">
        <v>32760</v>
      </c>
      <c r="P61">
        <v>131040</v>
      </c>
      <c r="Q61">
        <v>84000</v>
      </c>
      <c r="R61">
        <v>47040</v>
      </c>
      <c r="S61">
        <v>35.9</v>
      </c>
      <c r="T61">
        <v>0.06</v>
      </c>
      <c r="U61">
        <v>7862.4</v>
      </c>
    </row>
    <row r="62" spans="1:21" x14ac:dyDescent="0.2">
      <c r="A62" t="s">
        <v>123</v>
      </c>
      <c r="B62" t="s">
        <v>34</v>
      </c>
      <c r="C62" t="s">
        <v>50</v>
      </c>
      <c r="D62" t="s">
        <v>55</v>
      </c>
      <c r="E62" t="s">
        <v>41</v>
      </c>
      <c r="F62" t="s">
        <v>36</v>
      </c>
      <c r="G62" t="s">
        <v>37</v>
      </c>
      <c r="H62" t="s">
        <v>48</v>
      </c>
      <c r="I62">
        <v>12</v>
      </c>
      <c r="J62">
        <v>8500</v>
      </c>
      <c r="K62">
        <v>5100</v>
      </c>
      <c r="L62">
        <v>6.5000000000000002E-2</v>
      </c>
      <c r="M62">
        <v>1</v>
      </c>
      <c r="N62">
        <v>22</v>
      </c>
      <c r="O62">
        <v>7947.5</v>
      </c>
      <c r="P62">
        <v>95370</v>
      </c>
      <c r="Q62">
        <v>61200</v>
      </c>
      <c r="R62">
        <v>34170</v>
      </c>
      <c r="S62">
        <v>35.799999999999997</v>
      </c>
      <c r="T62">
        <v>2.5000000000000001E-2</v>
      </c>
      <c r="U62">
        <v>2384.25</v>
      </c>
    </row>
    <row r="63" spans="1:21" x14ac:dyDescent="0.2">
      <c r="A63" t="s">
        <v>124</v>
      </c>
      <c r="B63" t="s">
        <v>22</v>
      </c>
      <c r="C63" t="s">
        <v>50</v>
      </c>
      <c r="D63" t="s">
        <v>55</v>
      </c>
      <c r="E63" t="s">
        <v>41</v>
      </c>
      <c r="F63" t="s">
        <v>36</v>
      </c>
      <c r="G63" t="s">
        <v>37</v>
      </c>
      <c r="H63" t="s">
        <v>38</v>
      </c>
      <c r="I63">
        <v>7</v>
      </c>
      <c r="J63">
        <v>8500</v>
      </c>
      <c r="K63">
        <v>5100</v>
      </c>
      <c r="L63">
        <v>9.6000000000000002E-2</v>
      </c>
      <c r="M63">
        <v>1</v>
      </c>
      <c r="N63">
        <v>11</v>
      </c>
      <c r="O63">
        <v>7684</v>
      </c>
      <c r="P63">
        <v>53788</v>
      </c>
      <c r="Q63">
        <v>35700</v>
      </c>
      <c r="R63">
        <v>18088</v>
      </c>
      <c r="S63">
        <v>33.6</v>
      </c>
      <c r="T63">
        <v>2.5000000000000001E-2</v>
      </c>
      <c r="U63">
        <v>1344.7</v>
      </c>
    </row>
    <row r="64" spans="1:21" x14ac:dyDescent="0.2">
      <c r="A64" t="s">
        <v>125</v>
      </c>
      <c r="B64" t="s">
        <v>54</v>
      </c>
      <c r="C64" t="s">
        <v>44</v>
      </c>
      <c r="D64" t="s">
        <v>67</v>
      </c>
      <c r="E64" t="s">
        <v>41</v>
      </c>
      <c r="F64" t="s">
        <v>51</v>
      </c>
      <c r="G64" t="s">
        <v>37</v>
      </c>
      <c r="H64" t="s">
        <v>70</v>
      </c>
      <c r="I64">
        <v>4</v>
      </c>
      <c r="J64">
        <v>32000</v>
      </c>
      <c r="K64">
        <v>19200</v>
      </c>
      <c r="L64">
        <v>0.11799999999999999</v>
      </c>
      <c r="M64">
        <v>1</v>
      </c>
      <c r="N64">
        <v>25</v>
      </c>
      <c r="O64">
        <v>28224</v>
      </c>
      <c r="P64">
        <v>112896</v>
      </c>
      <c r="Q64">
        <v>76800</v>
      </c>
      <c r="R64">
        <v>36096</v>
      </c>
      <c r="S64">
        <v>32</v>
      </c>
      <c r="T64">
        <v>2.5000000000000001E-2</v>
      </c>
      <c r="U64">
        <v>2822.4</v>
      </c>
    </row>
    <row r="65" spans="1:21" x14ac:dyDescent="0.2">
      <c r="A65" t="s">
        <v>126</v>
      </c>
      <c r="B65" t="s">
        <v>34</v>
      </c>
      <c r="C65" t="s">
        <v>35</v>
      </c>
      <c r="D65" t="s">
        <v>24</v>
      </c>
      <c r="E65" t="s">
        <v>25</v>
      </c>
      <c r="F65" t="s">
        <v>73</v>
      </c>
      <c r="G65" t="s">
        <v>74</v>
      </c>
      <c r="H65" t="s">
        <v>32</v>
      </c>
      <c r="I65">
        <v>9</v>
      </c>
      <c r="J65">
        <v>22000</v>
      </c>
      <c r="K65">
        <v>13200</v>
      </c>
      <c r="L65">
        <v>3.3000000000000002E-2</v>
      </c>
      <c r="M65">
        <v>1</v>
      </c>
      <c r="N65">
        <v>40</v>
      </c>
      <c r="O65">
        <v>21274</v>
      </c>
      <c r="P65">
        <v>191466</v>
      </c>
      <c r="Q65">
        <v>118800</v>
      </c>
      <c r="R65">
        <v>72666</v>
      </c>
      <c r="S65">
        <v>38</v>
      </c>
      <c r="T65">
        <v>0.06</v>
      </c>
      <c r="U65">
        <v>11487.96</v>
      </c>
    </row>
    <row r="66" spans="1:21" x14ac:dyDescent="0.2">
      <c r="A66" t="s">
        <v>127</v>
      </c>
      <c r="B66" t="s">
        <v>34</v>
      </c>
      <c r="C66" t="s">
        <v>23</v>
      </c>
      <c r="D66" t="s">
        <v>67</v>
      </c>
      <c r="E66" t="s">
        <v>41</v>
      </c>
      <c r="F66" t="s">
        <v>51</v>
      </c>
      <c r="G66" t="s">
        <v>37</v>
      </c>
      <c r="H66" t="s">
        <v>52</v>
      </c>
      <c r="I66">
        <v>13</v>
      </c>
      <c r="J66">
        <v>32000</v>
      </c>
      <c r="K66">
        <v>19200</v>
      </c>
      <c r="L66">
        <v>6.7000000000000004E-2</v>
      </c>
      <c r="M66">
        <v>1</v>
      </c>
      <c r="N66">
        <v>42</v>
      </c>
      <c r="O66">
        <v>29856</v>
      </c>
      <c r="P66">
        <v>388128</v>
      </c>
      <c r="Q66">
        <v>249600</v>
      </c>
      <c r="R66">
        <v>138528</v>
      </c>
      <c r="S66">
        <v>35.700000000000003</v>
      </c>
      <c r="T66">
        <v>2.5000000000000001E-2</v>
      </c>
      <c r="U66">
        <v>9703.2000000000007</v>
      </c>
    </row>
    <row r="67" spans="1:21" x14ac:dyDescent="0.2">
      <c r="A67" t="s">
        <v>128</v>
      </c>
      <c r="B67" t="s">
        <v>22</v>
      </c>
      <c r="C67" t="s">
        <v>23</v>
      </c>
      <c r="D67" t="s">
        <v>31</v>
      </c>
      <c r="E67" t="s">
        <v>25</v>
      </c>
      <c r="F67" t="s">
        <v>26</v>
      </c>
      <c r="G67" t="s">
        <v>27</v>
      </c>
      <c r="H67" t="s">
        <v>59</v>
      </c>
      <c r="I67">
        <v>3</v>
      </c>
      <c r="J67">
        <v>35000</v>
      </c>
      <c r="K67">
        <v>21000</v>
      </c>
      <c r="L67">
        <v>4.0000000000000001E-3</v>
      </c>
      <c r="M67">
        <v>1</v>
      </c>
      <c r="N67">
        <v>5</v>
      </c>
      <c r="O67">
        <v>34860</v>
      </c>
      <c r="P67">
        <v>104580</v>
      </c>
      <c r="Q67">
        <v>63000</v>
      </c>
      <c r="R67">
        <v>41580</v>
      </c>
      <c r="S67">
        <v>39.799999999999997</v>
      </c>
      <c r="T67">
        <v>0.06</v>
      </c>
      <c r="U67">
        <v>6274.8</v>
      </c>
    </row>
    <row r="68" spans="1:21" x14ac:dyDescent="0.2">
      <c r="A68" t="s">
        <v>129</v>
      </c>
      <c r="B68" t="s">
        <v>34</v>
      </c>
      <c r="C68" t="s">
        <v>23</v>
      </c>
      <c r="D68" t="s">
        <v>83</v>
      </c>
      <c r="E68" t="s">
        <v>25</v>
      </c>
      <c r="F68" t="s">
        <v>73</v>
      </c>
      <c r="G68" t="s">
        <v>74</v>
      </c>
      <c r="H68" t="s">
        <v>48</v>
      </c>
      <c r="I68">
        <v>11</v>
      </c>
      <c r="J68">
        <v>22000</v>
      </c>
      <c r="K68">
        <v>13200</v>
      </c>
      <c r="L68">
        <v>0.1</v>
      </c>
      <c r="M68">
        <v>0</v>
      </c>
      <c r="N68">
        <v>35</v>
      </c>
      <c r="O68">
        <v>19800</v>
      </c>
      <c r="P68">
        <v>217800</v>
      </c>
      <c r="Q68">
        <v>145200</v>
      </c>
      <c r="R68">
        <v>72600</v>
      </c>
      <c r="S68">
        <v>33.299999999999997</v>
      </c>
      <c r="T68">
        <v>0.06</v>
      </c>
      <c r="U68">
        <v>13068</v>
      </c>
    </row>
    <row r="69" spans="1:21" x14ac:dyDescent="0.2">
      <c r="A69" t="s">
        <v>130</v>
      </c>
      <c r="B69" t="s">
        <v>22</v>
      </c>
      <c r="C69" t="s">
        <v>50</v>
      </c>
      <c r="D69" t="s">
        <v>67</v>
      </c>
      <c r="E69" t="s">
        <v>41</v>
      </c>
      <c r="F69" t="s">
        <v>36</v>
      </c>
      <c r="G69" t="s">
        <v>37</v>
      </c>
      <c r="H69" t="s">
        <v>28</v>
      </c>
      <c r="I69">
        <v>5</v>
      </c>
      <c r="J69">
        <v>8500</v>
      </c>
      <c r="K69">
        <v>5100</v>
      </c>
      <c r="L69">
        <v>1.7999999999999999E-2</v>
      </c>
      <c r="M69">
        <v>1</v>
      </c>
      <c r="N69">
        <v>12</v>
      </c>
      <c r="O69">
        <v>8347</v>
      </c>
      <c r="P69">
        <v>41735</v>
      </c>
      <c r="Q69">
        <v>25500</v>
      </c>
      <c r="R69">
        <v>16235</v>
      </c>
      <c r="S69">
        <v>38.9</v>
      </c>
      <c r="T69">
        <v>2.5000000000000001E-2</v>
      </c>
      <c r="U69">
        <v>1043.3800000000001</v>
      </c>
    </row>
    <row r="70" spans="1:21" x14ac:dyDescent="0.2">
      <c r="A70" t="s">
        <v>131</v>
      </c>
      <c r="B70" t="s">
        <v>54</v>
      </c>
      <c r="C70" t="s">
        <v>50</v>
      </c>
      <c r="D70" t="s">
        <v>67</v>
      </c>
      <c r="E70" t="s">
        <v>41</v>
      </c>
      <c r="F70" t="s">
        <v>51</v>
      </c>
      <c r="G70" t="s">
        <v>37</v>
      </c>
      <c r="H70" t="s">
        <v>59</v>
      </c>
      <c r="I70">
        <v>12</v>
      </c>
      <c r="J70">
        <v>32000</v>
      </c>
      <c r="K70">
        <v>19200</v>
      </c>
      <c r="L70">
        <v>0.11</v>
      </c>
      <c r="M70">
        <v>1</v>
      </c>
      <c r="N70">
        <v>25</v>
      </c>
      <c r="O70">
        <v>28480</v>
      </c>
      <c r="P70">
        <v>341760</v>
      </c>
      <c r="Q70">
        <v>230400</v>
      </c>
      <c r="R70">
        <v>111360</v>
      </c>
      <c r="S70">
        <v>32.6</v>
      </c>
      <c r="T70">
        <v>2.5000000000000001E-2</v>
      </c>
      <c r="U70">
        <v>8544</v>
      </c>
    </row>
    <row r="71" spans="1:21" x14ac:dyDescent="0.2">
      <c r="A71" t="s">
        <v>132</v>
      </c>
      <c r="B71" t="s">
        <v>22</v>
      </c>
      <c r="C71" t="s">
        <v>50</v>
      </c>
      <c r="D71" t="s">
        <v>67</v>
      </c>
      <c r="E71" t="s">
        <v>41</v>
      </c>
      <c r="F71" t="s">
        <v>86</v>
      </c>
      <c r="G71" t="s">
        <v>87</v>
      </c>
      <c r="H71" t="s">
        <v>52</v>
      </c>
      <c r="I71">
        <v>13</v>
      </c>
      <c r="J71">
        <v>28000</v>
      </c>
      <c r="K71">
        <v>16800</v>
      </c>
      <c r="L71">
        <v>1E-3</v>
      </c>
      <c r="M71">
        <v>0</v>
      </c>
      <c r="N71">
        <v>44</v>
      </c>
      <c r="O71">
        <v>27972</v>
      </c>
      <c r="P71">
        <v>363636</v>
      </c>
      <c r="Q71">
        <v>218400</v>
      </c>
      <c r="R71">
        <v>145236</v>
      </c>
      <c r="S71">
        <v>39.9</v>
      </c>
      <c r="T71">
        <v>2.5000000000000001E-2</v>
      </c>
      <c r="U71">
        <v>9090.9</v>
      </c>
    </row>
    <row r="72" spans="1:21" x14ac:dyDescent="0.2">
      <c r="A72" t="s">
        <v>133</v>
      </c>
      <c r="B72" t="s">
        <v>22</v>
      </c>
      <c r="C72" t="s">
        <v>50</v>
      </c>
      <c r="D72" t="s">
        <v>67</v>
      </c>
      <c r="E72" t="s">
        <v>41</v>
      </c>
      <c r="F72" t="s">
        <v>62</v>
      </c>
      <c r="G72" t="s">
        <v>57</v>
      </c>
      <c r="H72" t="s">
        <v>59</v>
      </c>
      <c r="I72">
        <v>14</v>
      </c>
      <c r="J72">
        <v>45000</v>
      </c>
      <c r="K72">
        <v>27000</v>
      </c>
      <c r="L72">
        <v>0.16500000000000001</v>
      </c>
      <c r="M72">
        <v>1</v>
      </c>
      <c r="N72">
        <v>17</v>
      </c>
      <c r="O72">
        <v>37575</v>
      </c>
      <c r="P72">
        <v>526050</v>
      </c>
      <c r="Q72">
        <v>378000</v>
      </c>
      <c r="R72">
        <v>148050</v>
      </c>
      <c r="S72">
        <v>28.1</v>
      </c>
      <c r="T72">
        <v>2.5000000000000001E-2</v>
      </c>
      <c r="U72">
        <v>13151.25</v>
      </c>
    </row>
    <row r="73" spans="1:21" x14ac:dyDescent="0.2">
      <c r="A73" t="s">
        <v>134</v>
      </c>
      <c r="B73" t="s">
        <v>22</v>
      </c>
      <c r="C73" t="s">
        <v>35</v>
      </c>
      <c r="D73" t="s">
        <v>67</v>
      </c>
      <c r="E73" t="s">
        <v>41</v>
      </c>
      <c r="F73" t="s">
        <v>86</v>
      </c>
      <c r="G73" t="s">
        <v>87</v>
      </c>
      <c r="H73" t="s">
        <v>64</v>
      </c>
      <c r="I73">
        <v>3</v>
      </c>
      <c r="J73">
        <v>28000</v>
      </c>
      <c r="K73">
        <v>16800</v>
      </c>
      <c r="L73">
        <v>0.19400000000000001</v>
      </c>
      <c r="M73">
        <v>1</v>
      </c>
      <c r="N73">
        <v>25</v>
      </c>
      <c r="O73">
        <v>22568</v>
      </c>
      <c r="P73">
        <v>67704</v>
      </c>
      <c r="Q73">
        <v>50400</v>
      </c>
      <c r="R73">
        <v>17304</v>
      </c>
      <c r="S73">
        <v>25.6</v>
      </c>
      <c r="T73">
        <v>2.5000000000000001E-2</v>
      </c>
      <c r="U73">
        <v>1692.6</v>
      </c>
    </row>
    <row r="74" spans="1:21" x14ac:dyDescent="0.2">
      <c r="A74" t="s">
        <v>135</v>
      </c>
      <c r="B74" t="s">
        <v>22</v>
      </c>
      <c r="C74" t="s">
        <v>35</v>
      </c>
      <c r="D74" t="s">
        <v>67</v>
      </c>
      <c r="E74" t="s">
        <v>41</v>
      </c>
      <c r="F74" t="s">
        <v>62</v>
      </c>
      <c r="G74" t="s">
        <v>57</v>
      </c>
      <c r="H74" t="s">
        <v>42</v>
      </c>
      <c r="I74">
        <v>1</v>
      </c>
      <c r="J74">
        <v>45000</v>
      </c>
      <c r="K74">
        <v>27000</v>
      </c>
      <c r="L74">
        <v>9.1999999999999998E-2</v>
      </c>
      <c r="M74">
        <v>1</v>
      </c>
      <c r="N74">
        <v>28</v>
      </c>
      <c r="O74">
        <v>40860</v>
      </c>
      <c r="P74">
        <v>40860</v>
      </c>
      <c r="Q74">
        <v>27000</v>
      </c>
      <c r="R74">
        <v>13860</v>
      </c>
      <c r="S74">
        <v>33.9</v>
      </c>
      <c r="T74">
        <v>2.5000000000000001E-2</v>
      </c>
      <c r="U74">
        <v>1021.5</v>
      </c>
    </row>
    <row r="75" spans="1:21" x14ac:dyDescent="0.2">
      <c r="A75" t="s">
        <v>136</v>
      </c>
      <c r="B75" t="s">
        <v>30</v>
      </c>
      <c r="C75" t="s">
        <v>44</v>
      </c>
      <c r="D75" t="s">
        <v>67</v>
      </c>
      <c r="E75" t="s">
        <v>41</v>
      </c>
      <c r="F75" t="s">
        <v>36</v>
      </c>
      <c r="G75" t="s">
        <v>37</v>
      </c>
      <c r="H75" t="s">
        <v>59</v>
      </c>
      <c r="I75">
        <v>7</v>
      </c>
      <c r="J75">
        <v>8500</v>
      </c>
      <c r="K75">
        <v>5100</v>
      </c>
      <c r="L75">
        <v>0.16800000000000001</v>
      </c>
      <c r="M75">
        <v>0</v>
      </c>
      <c r="N75">
        <v>8</v>
      </c>
      <c r="O75">
        <v>7072</v>
      </c>
      <c r="P75">
        <v>49504</v>
      </c>
      <c r="Q75">
        <v>35700</v>
      </c>
      <c r="R75">
        <v>13804</v>
      </c>
      <c r="S75">
        <v>27.9</v>
      </c>
      <c r="T75">
        <v>2.5000000000000001E-2</v>
      </c>
      <c r="U75">
        <v>1237.5999999999999</v>
      </c>
    </row>
    <row r="76" spans="1:21" x14ac:dyDescent="0.2">
      <c r="A76" t="s">
        <v>137</v>
      </c>
      <c r="B76" t="s">
        <v>54</v>
      </c>
      <c r="C76" t="s">
        <v>81</v>
      </c>
      <c r="D76" t="s">
        <v>83</v>
      </c>
      <c r="E76" t="s">
        <v>25</v>
      </c>
      <c r="F76" t="s">
        <v>36</v>
      </c>
      <c r="G76" t="s">
        <v>37</v>
      </c>
      <c r="H76" t="s">
        <v>42</v>
      </c>
      <c r="I76">
        <v>3</v>
      </c>
      <c r="J76">
        <v>8500</v>
      </c>
      <c r="K76">
        <v>5100</v>
      </c>
      <c r="L76">
        <v>7.0999999999999994E-2</v>
      </c>
      <c r="M76">
        <v>0</v>
      </c>
      <c r="N76">
        <v>21</v>
      </c>
      <c r="O76">
        <v>7896.5</v>
      </c>
      <c r="P76">
        <v>23689.5</v>
      </c>
      <c r="Q76">
        <v>15300</v>
      </c>
      <c r="R76">
        <v>8389.5</v>
      </c>
      <c r="S76">
        <v>35.4</v>
      </c>
      <c r="T76">
        <v>0.06</v>
      </c>
      <c r="U76">
        <v>1421.37</v>
      </c>
    </row>
    <row r="77" spans="1:21" x14ac:dyDescent="0.2">
      <c r="A77" t="s">
        <v>138</v>
      </c>
      <c r="B77" t="s">
        <v>30</v>
      </c>
      <c r="C77" t="s">
        <v>50</v>
      </c>
      <c r="D77" t="s">
        <v>31</v>
      </c>
      <c r="E77" t="s">
        <v>25</v>
      </c>
      <c r="F77" t="s">
        <v>46</v>
      </c>
      <c r="G77" t="s">
        <v>47</v>
      </c>
      <c r="H77" t="s">
        <v>32</v>
      </c>
      <c r="I77">
        <v>2</v>
      </c>
      <c r="J77">
        <v>95000</v>
      </c>
      <c r="K77">
        <v>57000</v>
      </c>
      <c r="L77">
        <v>5.1999999999999998E-2</v>
      </c>
      <c r="M77">
        <v>1</v>
      </c>
      <c r="N77">
        <v>31</v>
      </c>
      <c r="O77">
        <v>90060</v>
      </c>
      <c r="P77">
        <v>180120</v>
      </c>
      <c r="Q77">
        <v>114000</v>
      </c>
      <c r="R77">
        <v>66120</v>
      </c>
      <c r="S77">
        <v>36.700000000000003</v>
      </c>
      <c r="T77">
        <v>0.06</v>
      </c>
      <c r="U77">
        <v>10807.2</v>
      </c>
    </row>
    <row r="78" spans="1:21" x14ac:dyDescent="0.2">
      <c r="A78" t="s">
        <v>139</v>
      </c>
      <c r="B78" t="s">
        <v>22</v>
      </c>
      <c r="C78" t="s">
        <v>50</v>
      </c>
      <c r="D78" t="s">
        <v>31</v>
      </c>
      <c r="E78" t="s">
        <v>25</v>
      </c>
      <c r="F78" t="s">
        <v>62</v>
      </c>
      <c r="G78" t="s">
        <v>57</v>
      </c>
      <c r="H78" t="s">
        <v>48</v>
      </c>
      <c r="I78">
        <v>5</v>
      </c>
      <c r="J78">
        <v>45000</v>
      </c>
      <c r="K78">
        <v>27000</v>
      </c>
      <c r="L78">
        <v>0.01</v>
      </c>
      <c r="M78">
        <v>1</v>
      </c>
      <c r="N78">
        <v>15</v>
      </c>
      <c r="O78">
        <v>44550</v>
      </c>
      <c r="P78">
        <v>222750</v>
      </c>
      <c r="Q78">
        <v>135000</v>
      </c>
      <c r="R78">
        <v>87750</v>
      </c>
      <c r="S78">
        <v>39.4</v>
      </c>
      <c r="T78">
        <v>0.06</v>
      </c>
      <c r="U78">
        <v>13365</v>
      </c>
    </row>
    <row r="79" spans="1:21" x14ac:dyDescent="0.2">
      <c r="A79" t="s">
        <v>140</v>
      </c>
      <c r="B79" t="s">
        <v>54</v>
      </c>
      <c r="C79" t="s">
        <v>23</v>
      </c>
      <c r="D79" t="s">
        <v>67</v>
      </c>
      <c r="E79" t="s">
        <v>41</v>
      </c>
      <c r="F79" t="s">
        <v>56</v>
      </c>
      <c r="G79" t="s">
        <v>57</v>
      </c>
      <c r="H79" t="s">
        <v>59</v>
      </c>
      <c r="I79">
        <v>1</v>
      </c>
      <c r="J79">
        <v>180000</v>
      </c>
      <c r="K79">
        <v>108000</v>
      </c>
      <c r="L79">
        <v>4.3999999999999997E-2</v>
      </c>
      <c r="M79">
        <v>1</v>
      </c>
      <c r="N79">
        <v>15</v>
      </c>
      <c r="O79">
        <v>172080</v>
      </c>
      <c r="P79">
        <v>172080</v>
      </c>
      <c r="Q79">
        <v>108000</v>
      </c>
      <c r="R79">
        <v>64080</v>
      </c>
      <c r="S79">
        <v>37.200000000000003</v>
      </c>
      <c r="T79">
        <v>2.5000000000000001E-2</v>
      </c>
      <c r="U79">
        <v>4302</v>
      </c>
    </row>
    <row r="80" spans="1:21" x14ac:dyDescent="0.2">
      <c r="A80" t="s">
        <v>141</v>
      </c>
      <c r="B80" t="s">
        <v>22</v>
      </c>
      <c r="C80" t="s">
        <v>23</v>
      </c>
      <c r="D80" t="s">
        <v>55</v>
      </c>
      <c r="E80" t="s">
        <v>41</v>
      </c>
      <c r="F80" t="s">
        <v>86</v>
      </c>
      <c r="G80" t="s">
        <v>87</v>
      </c>
      <c r="H80" t="s">
        <v>75</v>
      </c>
      <c r="I80">
        <v>9</v>
      </c>
      <c r="J80">
        <v>28000</v>
      </c>
      <c r="K80">
        <v>16800</v>
      </c>
      <c r="L80">
        <v>0.161</v>
      </c>
      <c r="M80">
        <v>1</v>
      </c>
      <c r="N80">
        <v>18</v>
      </c>
      <c r="O80">
        <v>23492</v>
      </c>
      <c r="P80">
        <v>211428</v>
      </c>
      <c r="Q80">
        <v>151200</v>
      </c>
      <c r="R80">
        <v>60228</v>
      </c>
      <c r="S80">
        <v>28.5</v>
      </c>
      <c r="T80">
        <v>2.5000000000000001E-2</v>
      </c>
      <c r="U80">
        <v>5285.7</v>
      </c>
    </row>
    <row r="81" spans="1:21" x14ac:dyDescent="0.2">
      <c r="A81" t="s">
        <v>142</v>
      </c>
      <c r="B81" t="s">
        <v>30</v>
      </c>
      <c r="C81" t="s">
        <v>44</v>
      </c>
      <c r="D81" t="s">
        <v>31</v>
      </c>
      <c r="E81" t="s">
        <v>25</v>
      </c>
      <c r="F81" t="s">
        <v>73</v>
      </c>
      <c r="G81" t="s">
        <v>74</v>
      </c>
      <c r="H81" t="s">
        <v>52</v>
      </c>
      <c r="I81">
        <v>4</v>
      </c>
      <c r="J81">
        <v>22000</v>
      </c>
      <c r="K81">
        <v>13200</v>
      </c>
      <c r="L81">
        <v>8.9999999999999993E-3</v>
      </c>
      <c r="M81">
        <v>1</v>
      </c>
      <c r="N81">
        <v>34</v>
      </c>
      <c r="O81">
        <v>21802</v>
      </c>
      <c r="P81">
        <v>87208</v>
      </c>
      <c r="Q81">
        <v>52800</v>
      </c>
      <c r="R81">
        <v>34408</v>
      </c>
      <c r="S81">
        <v>39.5</v>
      </c>
      <c r="T81">
        <v>0.06</v>
      </c>
      <c r="U81">
        <v>5232.4799999999996</v>
      </c>
    </row>
    <row r="82" spans="1:21" x14ac:dyDescent="0.2">
      <c r="A82" t="s">
        <v>143</v>
      </c>
      <c r="B82" t="s">
        <v>54</v>
      </c>
      <c r="C82" t="s">
        <v>35</v>
      </c>
      <c r="D82" t="s">
        <v>45</v>
      </c>
      <c r="E82" t="s">
        <v>25</v>
      </c>
      <c r="F82" t="s">
        <v>56</v>
      </c>
      <c r="G82" t="s">
        <v>57</v>
      </c>
      <c r="H82" t="s">
        <v>42</v>
      </c>
      <c r="I82">
        <v>7</v>
      </c>
      <c r="J82">
        <v>180000</v>
      </c>
      <c r="K82">
        <v>108000</v>
      </c>
      <c r="L82">
        <v>3.4000000000000002E-2</v>
      </c>
      <c r="M82">
        <v>0</v>
      </c>
      <c r="N82">
        <v>10</v>
      </c>
      <c r="O82">
        <v>173880</v>
      </c>
      <c r="P82">
        <v>1217160</v>
      </c>
      <c r="Q82">
        <v>756000</v>
      </c>
      <c r="R82">
        <v>461160</v>
      </c>
      <c r="S82">
        <v>37.9</v>
      </c>
      <c r="T82">
        <v>0.06</v>
      </c>
      <c r="U82">
        <v>73029.600000000006</v>
      </c>
    </row>
    <row r="83" spans="1:21" x14ac:dyDescent="0.2">
      <c r="A83" t="s">
        <v>144</v>
      </c>
      <c r="B83" t="s">
        <v>22</v>
      </c>
      <c r="C83" t="s">
        <v>50</v>
      </c>
      <c r="D83" t="s">
        <v>40</v>
      </c>
      <c r="E83" t="s">
        <v>41</v>
      </c>
      <c r="F83" t="s">
        <v>56</v>
      </c>
      <c r="G83" t="s">
        <v>57</v>
      </c>
      <c r="H83" t="s">
        <v>32</v>
      </c>
      <c r="I83">
        <v>5</v>
      </c>
      <c r="J83">
        <v>180000</v>
      </c>
      <c r="K83">
        <v>108000</v>
      </c>
      <c r="L83">
        <v>2.1000000000000001E-2</v>
      </c>
      <c r="M83">
        <v>0</v>
      </c>
      <c r="N83">
        <v>11</v>
      </c>
      <c r="O83">
        <v>176220</v>
      </c>
      <c r="P83">
        <v>881100</v>
      </c>
      <c r="Q83">
        <v>540000</v>
      </c>
      <c r="R83">
        <v>341100</v>
      </c>
      <c r="S83">
        <v>38.700000000000003</v>
      </c>
      <c r="T83">
        <v>2.5000000000000001E-2</v>
      </c>
      <c r="U83">
        <v>22027.5</v>
      </c>
    </row>
    <row r="84" spans="1:21" x14ac:dyDescent="0.2">
      <c r="A84" t="s">
        <v>145</v>
      </c>
      <c r="B84" t="s">
        <v>30</v>
      </c>
      <c r="C84" t="s">
        <v>35</v>
      </c>
      <c r="D84" t="s">
        <v>67</v>
      </c>
      <c r="E84" t="s">
        <v>41</v>
      </c>
      <c r="F84" t="s">
        <v>26</v>
      </c>
      <c r="G84" t="s">
        <v>27</v>
      </c>
      <c r="H84" t="s">
        <v>28</v>
      </c>
      <c r="I84">
        <v>14</v>
      </c>
      <c r="J84">
        <v>35000</v>
      </c>
      <c r="K84">
        <v>21000</v>
      </c>
      <c r="L84">
        <v>0.106</v>
      </c>
      <c r="M84">
        <v>1</v>
      </c>
      <c r="N84">
        <v>44</v>
      </c>
      <c r="O84">
        <v>31290</v>
      </c>
      <c r="P84">
        <v>438060</v>
      </c>
      <c r="Q84">
        <v>294000</v>
      </c>
      <c r="R84">
        <v>144060</v>
      </c>
      <c r="S84">
        <v>32.9</v>
      </c>
      <c r="T84">
        <v>2.5000000000000001E-2</v>
      </c>
      <c r="U84">
        <v>10951.5</v>
      </c>
    </row>
    <row r="85" spans="1:21" x14ac:dyDescent="0.2">
      <c r="A85" t="s">
        <v>146</v>
      </c>
      <c r="B85" t="s">
        <v>22</v>
      </c>
      <c r="C85" t="s">
        <v>35</v>
      </c>
      <c r="D85" t="s">
        <v>67</v>
      </c>
      <c r="E85" t="s">
        <v>41</v>
      </c>
      <c r="F85" t="s">
        <v>26</v>
      </c>
      <c r="G85" t="s">
        <v>27</v>
      </c>
      <c r="H85" t="s">
        <v>38</v>
      </c>
      <c r="I85">
        <v>11</v>
      </c>
      <c r="J85">
        <v>35000</v>
      </c>
      <c r="K85">
        <v>21000</v>
      </c>
      <c r="L85">
        <v>7.3999999999999996E-2</v>
      </c>
      <c r="M85">
        <v>1</v>
      </c>
      <c r="N85">
        <v>39</v>
      </c>
      <c r="O85">
        <v>32410</v>
      </c>
      <c r="P85">
        <v>356510</v>
      </c>
      <c r="Q85">
        <v>231000</v>
      </c>
      <c r="R85">
        <v>125510</v>
      </c>
      <c r="S85">
        <v>35.200000000000003</v>
      </c>
      <c r="T85">
        <v>2.5000000000000001E-2</v>
      </c>
      <c r="U85">
        <v>8912.75</v>
      </c>
    </row>
    <row r="86" spans="1:21" x14ac:dyDescent="0.2">
      <c r="A86" t="s">
        <v>147</v>
      </c>
      <c r="B86" t="s">
        <v>30</v>
      </c>
      <c r="C86" t="s">
        <v>50</v>
      </c>
      <c r="D86" t="s">
        <v>31</v>
      </c>
      <c r="E86" t="s">
        <v>25</v>
      </c>
      <c r="F86" t="s">
        <v>51</v>
      </c>
      <c r="G86" t="s">
        <v>37</v>
      </c>
      <c r="H86" t="s">
        <v>32</v>
      </c>
      <c r="I86">
        <v>14</v>
      </c>
      <c r="J86">
        <v>32000</v>
      </c>
      <c r="K86">
        <v>19200</v>
      </c>
      <c r="L86">
        <v>1.2E-2</v>
      </c>
      <c r="M86">
        <v>1</v>
      </c>
      <c r="N86">
        <v>4</v>
      </c>
      <c r="O86">
        <v>31616</v>
      </c>
      <c r="P86">
        <v>442624</v>
      </c>
      <c r="Q86">
        <v>268800</v>
      </c>
      <c r="R86">
        <v>173824</v>
      </c>
      <c r="S86">
        <v>39.299999999999997</v>
      </c>
      <c r="T86">
        <v>0.06</v>
      </c>
      <c r="U86">
        <v>26557.439999999999</v>
      </c>
    </row>
    <row r="87" spans="1:21" x14ac:dyDescent="0.2">
      <c r="A87" t="s">
        <v>148</v>
      </c>
      <c r="B87" t="s">
        <v>34</v>
      </c>
      <c r="C87" t="s">
        <v>50</v>
      </c>
      <c r="D87" t="s">
        <v>67</v>
      </c>
      <c r="E87" t="s">
        <v>41</v>
      </c>
      <c r="F87" t="s">
        <v>86</v>
      </c>
      <c r="G87" t="s">
        <v>87</v>
      </c>
      <c r="H87" t="s">
        <v>28</v>
      </c>
      <c r="I87">
        <v>10</v>
      </c>
      <c r="J87">
        <v>28000</v>
      </c>
      <c r="K87">
        <v>16800</v>
      </c>
      <c r="L87">
        <v>8.0000000000000002E-3</v>
      </c>
      <c r="M87">
        <v>1</v>
      </c>
      <c r="N87">
        <v>5</v>
      </c>
      <c r="O87">
        <v>27776</v>
      </c>
      <c r="P87">
        <v>277760</v>
      </c>
      <c r="Q87">
        <v>168000</v>
      </c>
      <c r="R87">
        <v>109760</v>
      </c>
      <c r="S87">
        <v>39.5</v>
      </c>
      <c r="T87">
        <v>2.5000000000000001E-2</v>
      </c>
      <c r="U87">
        <v>6944</v>
      </c>
    </row>
    <row r="88" spans="1:21" x14ac:dyDescent="0.2">
      <c r="A88" t="s">
        <v>149</v>
      </c>
      <c r="B88" t="s">
        <v>22</v>
      </c>
      <c r="C88" t="s">
        <v>50</v>
      </c>
      <c r="D88" t="s">
        <v>31</v>
      </c>
      <c r="E88" t="s">
        <v>25</v>
      </c>
      <c r="F88" t="s">
        <v>46</v>
      </c>
      <c r="G88" t="s">
        <v>47</v>
      </c>
      <c r="H88" t="s">
        <v>42</v>
      </c>
      <c r="I88">
        <v>2</v>
      </c>
      <c r="J88">
        <v>95000</v>
      </c>
      <c r="K88">
        <v>57000</v>
      </c>
      <c r="L88">
        <v>8.6999999999999994E-2</v>
      </c>
      <c r="M88">
        <v>0</v>
      </c>
      <c r="N88">
        <v>11</v>
      </c>
      <c r="O88">
        <v>86735</v>
      </c>
      <c r="P88">
        <v>173470</v>
      </c>
      <c r="Q88">
        <v>114000</v>
      </c>
      <c r="R88">
        <v>59470</v>
      </c>
      <c r="S88">
        <v>34.299999999999997</v>
      </c>
      <c r="T88">
        <v>0.06</v>
      </c>
      <c r="U88">
        <v>10408.200000000001</v>
      </c>
    </row>
    <row r="89" spans="1:21" x14ac:dyDescent="0.2">
      <c r="A89" t="s">
        <v>150</v>
      </c>
      <c r="B89" t="s">
        <v>34</v>
      </c>
      <c r="C89" t="s">
        <v>23</v>
      </c>
      <c r="D89" t="s">
        <v>45</v>
      </c>
      <c r="E89" t="s">
        <v>25</v>
      </c>
      <c r="F89" t="s">
        <v>36</v>
      </c>
      <c r="G89" t="s">
        <v>37</v>
      </c>
      <c r="H89" t="s">
        <v>48</v>
      </c>
      <c r="I89">
        <v>7</v>
      </c>
      <c r="J89">
        <v>8500</v>
      </c>
      <c r="K89">
        <v>5100</v>
      </c>
      <c r="L89">
        <v>3.9E-2</v>
      </c>
      <c r="M89">
        <v>1</v>
      </c>
      <c r="N89">
        <v>36</v>
      </c>
      <c r="O89">
        <v>8168.5</v>
      </c>
      <c r="P89">
        <v>57179.5</v>
      </c>
      <c r="Q89">
        <v>35700</v>
      </c>
      <c r="R89">
        <v>21479.5</v>
      </c>
      <c r="S89">
        <v>37.6</v>
      </c>
      <c r="T89">
        <v>0.06</v>
      </c>
      <c r="U89">
        <v>3430.77</v>
      </c>
    </row>
    <row r="90" spans="1:21" x14ac:dyDescent="0.2">
      <c r="A90" t="s">
        <v>151</v>
      </c>
      <c r="B90" t="s">
        <v>30</v>
      </c>
      <c r="C90" t="s">
        <v>35</v>
      </c>
      <c r="D90" t="s">
        <v>31</v>
      </c>
      <c r="E90" t="s">
        <v>25</v>
      </c>
      <c r="F90" t="s">
        <v>46</v>
      </c>
      <c r="G90" t="s">
        <v>47</v>
      </c>
      <c r="H90" t="s">
        <v>38</v>
      </c>
      <c r="I90">
        <v>9</v>
      </c>
      <c r="J90">
        <v>95000</v>
      </c>
      <c r="K90">
        <v>57000</v>
      </c>
      <c r="L90">
        <v>0.05</v>
      </c>
      <c r="M90">
        <v>1</v>
      </c>
      <c r="N90">
        <v>41</v>
      </c>
      <c r="O90">
        <v>90250</v>
      </c>
      <c r="P90">
        <v>812250</v>
      </c>
      <c r="Q90">
        <v>513000</v>
      </c>
      <c r="R90">
        <v>299250</v>
      </c>
      <c r="S90">
        <v>36.799999999999997</v>
      </c>
      <c r="T90">
        <v>0.06</v>
      </c>
      <c r="U90">
        <v>48735</v>
      </c>
    </row>
    <row r="91" spans="1:21" x14ac:dyDescent="0.2">
      <c r="A91" t="s">
        <v>152</v>
      </c>
      <c r="B91" t="s">
        <v>34</v>
      </c>
      <c r="C91" t="s">
        <v>81</v>
      </c>
      <c r="D91" t="s">
        <v>45</v>
      </c>
      <c r="E91" t="s">
        <v>25</v>
      </c>
      <c r="F91" t="s">
        <v>46</v>
      </c>
      <c r="G91" t="s">
        <v>47</v>
      </c>
      <c r="H91" t="s">
        <v>32</v>
      </c>
      <c r="I91">
        <v>5</v>
      </c>
      <c r="J91">
        <v>95000</v>
      </c>
      <c r="K91">
        <v>57000</v>
      </c>
      <c r="L91">
        <v>5.7000000000000002E-2</v>
      </c>
      <c r="M91">
        <v>1</v>
      </c>
      <c r="N91">
        <v>13</v>
      </c>
      <c r="O91">
        <v>89585</v>
      </c>
      <c r="P91">
        <v>447925</v>
      </c>
      <c r="Q91">
        <v>285000</v>
      </c>
      <c r="R91">
        <v>162925</v>
      </c>
      <c r="S91">
        <v>36.4</v>
      </c>
      <c r="T91">
        <v>0.06</v>
      </c>
      <c r="U91">
        <v>26875.5</v>
      </c>
    </row>
    <row r="92" spans="1:21" x14ac:dyDescent="0.2">
      <c r="A92" t="s">
        <v>153</v>
      </c>
      <c r="B92" t="s">
        <v>54</v>
      </c>
      <c r="C92" t="s">
        <v>35</v>
      </c>
      <c r="D92" t="s">
        <v>24</v>
      </c>
      <c r="E92" t="s">
        <v>25</v>
      </c>
      <c r="F92" t="s">
        <v>86</v>
      </c>
      <c r="G92" t="s">
        <v>87</v>
      </c>
      <c r="H92" t="s">
        <v>38</v>
      </c>
      <c r="I92">
        <v>13</v>
      </c>
      <c r="J92">
        <v>28000</v>
      </c>
      <c r="K92">
        <v>16800</v>
      </c>
      <c r="L92">
        <v>3.6999999999999998E-2</v>
      </c>
      <c r="M92">
        <v>1</v>
      </c>
      <c r="N92">
        <v>23</v>
      </c>
      <c r="O92">
        <v>26964</v>
      </c>
      <c r="P92">
        <v>350532</v>
      </c>
      <c r="Q92">
        <v>218400</v>
      </c>
      <c r="R92">
        <v>132132</v>
      </c>
      <c r="S92">
        <v>37.700000000000003</v>
      </c>
      <c r="T92">
        <v>0.06</v>
      </c>
      <c r="U92">
        <v>21031.919999999998</v>
      </c>
    </row>
    <row r="93" spans="1:21" x14ac:dyDescent="0.2">
      <c r="A93" t="s">
        <v>154</v>
      </c>
      <c r="B93" t="s">
        <v>34</v>
      </c>
      <c r="C93" t="s">
        <v>35</v>
      </c>
      <c r="D93" t="s">
        <v>24</v>
      </c>
      <c r="E93" t="s">
        <v>25</v>
      </c>
      <c r="F93" t="s">
        <v>73</v>
      </c>
      <c r="G93" t="s">
        <v>74</v>
      </c>
      <c r="H93" t="s">
        <v>38</v>
      </c>
      <c r="I93">
        <v>7</v>
      </c>
      <c r="J93">
        <v>22000</v>
      </c>
      <c r="K93">
        <v>13200</v>
      </c>
      <c r="L93">
        <v>2.9000000000000001E-2</v>
      </c>
      <c r="M93">
        <v>1</v>
      </c>
      <c r="N93">
        <v>3</v>
      </c>
      <c r="O93">
        <v>21362</v>
      </c>
      <c r="P93">
        <v>149534</v>
      </c>
      <c r="Q93">
        <v>92400</v>
      </c>
      <c r="R93">
        <v>57134</v>
      </c>
      <c r="S93">
        <v>38.200000000000003</v>
      </c>
      <c r="T93">
        <v>0.06</v>
      </c>
      <c r="U93">
        <v>8972.0400000000009</v>
      </c>
    </row>
    <row r="94" spans="1:21" x14ac:dyDescent="0.2">
      <c r="A94" t="s">
        <v>155</v>
      </c>
      <c r="B94" t="s">
        <v>54</v>
      </c>
      <c r="C94" t="s">
        <v>35</v>
      </c>
      <c r="D94" t="s">
        <v>67</v>
      </c>
      <c r="E94" t="s">
        <v>41</v>
      </c>
      <c r="F94" t="s">
        <v>73</v>
      </c>
      <c r="G94" t="s">
        <v>74</v>
      </c>
      <c r="H94" t="s">
        <v>75</v>
      </c>
      <c r="I94">
        <v>3</v>
      </c>
      <c r="J94">
        <v>22000</v>
      </c>
      <c r="K94">
        <v>13200</v>
      </c>
      <c r="L94">
        <v>0.11899999999999999</v>
      </c>
      <c r="M94">
        <v>1</v>
      </c>
      <c r="N94">
        <v>41</v>
      </c>
      <c r="O94">
        <v>19382</v>
      </c>
      <c r="P94">
        <v>58146</v>
      </c>
      <c r="Q94">
        <v>39600</v>
      </c>
      <c r="R94">
        <v>18546</v>
      </c>
      <c r="S94">
        <v>31.9</v>
      </c>
      <c r="T94">
        <v>2.5000000000000001E-2</v>
      </c>
      <c r="U94">
        <v>1453.65</v>
      </c>
    </row>
    <row r="95" spans="1:21" x14ac:dyDescent="0.2">
      <c r="A95" t="s">
        <v>156</v>
      </c>
      <c r="B95" t="s">
        <v>22</v>
      </c>
      <c r="C95" t="s">
        <v>35</v>
      </c>
      <c r="D95" t="s">
        <v>83</v>
      </c>
      <c r="E95" t="s">
        <v>25</v>
      </c>
      <c r="F95" t="s">
        <v>26</v>
      </c>
      <c r="G95" t="s">
        <v>27</v>
      </c>
      <c r="H95" t="s">
        <v>75</v>
      </c>
      <c r="I95">
        <v>12</v>
      </c>
      <c r="J95">
        <v>35000</v>
      </c>
      <c r="K95">
        <v>21000</v>
      </c>
      <c r="L95">
        <v>1E-3</v>
      </c>
      <c r="M95">
        <v>0</v>
      </c>
      <c r="N95">
        <v>35</v>
      </c>
      <c r="O95">
        <v>34965</v>
      </c>
      <c r="P95">
        <v>419580</v>
      </c>
      <c r="Q95">
        <v>252000</v>
      </c>
      <c r="R95">
        <v>167580</v>
      </c>
      <c r="S95">
        <v>39.9</v>
      </c>
      <c r="T95">
        <v>0.06</v>
      </c>
      <c r="U95">
        <v>25174.799999999999</v>
      </c>
    </row>
    <row r="96" spans="1:21" x14ac:dyDescent="0.2">
      <c r="A96" t="s">
        <v>157</v>
      </c>
      <c r="B96" t="s">
        <v>30</v>
      </c>
      <c r="C96" t="s">
        <v>23</v>
      </c>
      <c r="D96" t="s">
        <v>31</v>
      </c>
      <c r="E96" t="s">
        <v>25</v>
      </c>
      <c r="F96" t="s">
        <v>73</v>
      </c>
      <c r="G96" t="s">
        <v>74</v>
      </c>
      <c r="H96" t="s">
        <v>59</v>
      </c>
      <c r="I96">
        <v>12</v>
      </c>
      <c r="J96">
        <v>22000</v>
      </c>
      <c r="K96">
        <v>13200</v>
      </c>
      <c r="L96">
        <v>6.0000000000000001E-3</v>
      </c>
      <c r="M96">
        <v>1</v>
      </c>
      <c r="N96">
        <v>11</v>
      </c>
      <c r="O96">
        <v>21868</v>
      </c>
      <c r="P96">
        <v>262416</v>
      </c>
      <c r="Q96">
        <v>158400</v>
      </c>
      <c r="R96">
        <v>104016</v>
      </c>
      <c r="S96">
        <v>39.6</v>
      </c>
      <c r="T96">
        <v>0.06</v>
      </c>
      <c r="U96">
        <v>15744.96</v>
      </c>
    </row>
    <row r="97" spans="1:21" x14ac:dyDescent="0.2">
      <c r="A97" t="s">
        <v>158</v>
      </c>
      <c r="B97" t="s">
        <v>30</v>
      </c>
      <c r="C97" t="s">
        <v>35</v>
      </c>
      <c r="D97" t="s">
        <v>31</v>
      </c>
      <c r="E97" t="s">
        <v>25</v>
      </c>
      <c r="F97" t="s">
        <v>86</v>
      </c>
      <c r="G97" t="s">
        <v>87</v>
      </c>
      <c r="H97" t="s">
        <v>70</v>
      </c>
      <c r="I97">
        <v>12</v>
      </c>
      <c r="J97">
        <v>28000</v>
      </c>
      <c r="K97">
        <v>16800</v>
      </c>
      <c r="L97">
        <v>0.03</v>
      </c>
      <c r="M97">
        <v>1</v>
      </c>
      <c r="N97">
        <v>36</v>
      </c>
      <c r="O97">
        <v>27160</v>
      </c>
      <c r="P97">
        <v>325920</v>
      </c>
      <c r="Q97">
        <v>201600</v>
      </c>
      <c r="R97">
        <v>124320</v>
      </c>
      <c r="S97">
        <v>38.1</v>
      </c>
      <c r="T97">
        <v>0.06</v>
      </c>
      <c r="U97">
        <v>19555.2</v>
      </c>
    </row>
    <row r="98" spans="1:21" x14ac:dyDescent="0.2">
      <c r="A98" t="s">
        <v>159</v>
      </c>
      <c r="B98" t="s">
        <v>34</v>
      </c>
      <c r="C98" t="s">
        <v>50</v>
      </c>
      <c r="D98" t="s">
        <v>55</v>
      </c>
      <c r="E98" t="s">
        <v>41</v>
      </c>
      <c r="F98" t="s">
        <v>51</v>
      </c>
      <c r="G98" t="s">
        <v>37</v>
      </c>
      <c r="H98" t="s">
        <v>75</v>
      </c>
      <c r="I98">
        <v>7</v>
      </c>
      <c r="J98">
        <v>32000</v>
      </c>
      <c r="K98">
        <v>19200</v>
      </c>
      <c r="L98">
        <v>0.154</v>
      </c>
      <c r="M98">
        <v>1</v>
      </c>
      <c r="N98">
        <v>22</v>
      </c>
      <c r="O98">
        <v>27072</v>
      </c>
      <c r="P98">
        <v>189504</v>
      </c>
      <c r="Q98">
        <v>134400</v>
      </c>
      <c r="R98">
        <v>55104</v>
      </c>
      <c r="S98">
        <v>29.1</v>
      </c>
      <c r="T98">
        <v>2.5000000000000001E-2</v>
      </c>
      <c r="U98">
        <v>4737.6000000000004</v>
      </c>
    </row>
    <row r="99" spans="1:21" x14ac:dyDescent="0.2">
      <c r="A99" t="s">
        <v>160</v>
      </c>
      <c r="B99" t="s">
        <v>22</v>
      </c>
      <c r="C99" t="s">
        <v>35</v>
      </c>
      <c r="D99" t="s">
        <v>55</v>
      </c>
      <c r="E99" t="s">
        <v>41</v>
      </c>
      <c r="F99" t="s">
        <v>26</v>
      </c>
      <c r="G99" t="s">
        <v>27</v>
      </c>
      <c r="H99" t="s">
        <v>42</v>
      </c>
      <c r="I99">
        <v>1</v>
      </c>
      <c r="J99">
        <v>35000</v>
      </c>
      <c r="K99">
        <v>21000</v>
      </c>
      <c r="L99">
        <v>0.18</v>
      </c>
      <c r="M99">
        <v>1</v>
      </c>
      <c r="N99">
        <v>25</v>
      </c>
      <c r="O99">
        <v>28700</v>
      </c>
      <c r="P99">
        <v>28700</v>
      </c>
      <c r="Q99">
        <v>21000</v>
      </c>
      <c r="R99">
        <v>7700</v>
      </c>
      <c r="S99">
        <v>26.8</v>
      </c>
      <c r="T99">
        <v>2.5000000000000001E-2</v>
      </c>
      <c r="U99">
        <v>717.5</v>
      </c>
    </row>
    <row r="100" spans="1:21" x14ac:dyDescent="0.2">
      <c r="A100" t="s">
        <v>161</v>
      </c>
      <c r="B100" t="s">
        <v>34</v>
      </c>
      <c r="C100" t="s">
        <v>50</v>
      </c>
      <c r="D100" t="s">
        <v>67</v>
      </c>
      <c r="E100" t="s">
        <v>41</v>
      </c>
      <c r="F100" t="s">
        <v>73</v>
      </c>
      <c r="G100" t="s">
        <v>74</v>
      </c>
      <c r="H100" t="s">
        <v>42</v>
      </c>
      <c r="I100">
        <v>5</v>
      </c>
      <c r="J100">
        <v>22000</v>
      </c>
      <c r="K100">
        <v>13200</v>
      </c>
      <c r="L100">
        <v>3.1E-2</v>
      </c>
      <c r="M100">
        <v>0</v>
      </c>
      <c r="N100">
        <v>18</v>
      </c>
      <c r="O100">
        <v>21318</v>
      </c>
      <c r="P100">
        <v>106590</v>
      </c>
      <c r="Q100">
        <v>66000</v>
      </c>
      <c r="R100">
        <v>40590</v>
      </c>
      <c r="S100">
        <v>38.1</v>
      </c>
      <c r="T100">
        <v>2.5000000000000001E-2</v>
      </c>
      <c r="U100">
        <v>2664.75</v>
      </c>
    </row>
    <row r="101" spans="1:21" x14ac:dyDescent="0.2">
      <c r="A101" t="s">
        <v>162</v>
      </c>
      <c r="B101" t="s">
        <v>54</v>
      </c>
      <c r="C101" t="s">
        <v>23</v>
      </c>
      <c r="D101" t="s">
        <v>67</v>
      </c>
      <c r="E101" t="s">
        <v>41</v>
      </c>
      <c r="F101" t="s">
        <v>46</v>
      </c>
      <c r="G101" t="s">
        <v>47</v>
      </c>
      <c r="H101" t="s">
        <v>64</v>
      </c>
      <c r="I101">
        <v>8</v>
      </c>
      <c r="J101">
        <v>95000</v>
      </c>
      <c r="K101">
        <v>57000</v>
      </c>
      <c r="L101">
        <v>0.13300000000000001</v>
      </c>
      <c r="M101">
        <v>0</v>
      </c>
      <c r="N101">
        <v>18</v>
      </c>
      <c r="O101">
        <v>82365</v>
      </c>
      <c r="P101">
        <v>658920</v>
      </c>
      <c r="Q101">
        <v>456000</v>
      </c>
      <c r="R101">
        <v>202920</v>
      </c>
      <c r="S101">
        <v>30.8</v>
      </c>
      <c r="T101">
        <v>2.5000000000000001E-2</v>
      </c>
      <c r="U101">
        <v>16473</v>
      </c>
    </row>
    <row r="102" spans="1:21" x14ac:dyDescent="0.2">
      <c r="A102" t="s">
        <v>163</v>
      </c>
      <c r="B102" t="s">
        <v>54</v>
      </c>
      <c r="C102" t="s">
        <v>23</v>
      </c>
      <c r="D102" t="s">
        <v>83</v>
      </c>
      <c r="E102" t="s">
        <v>25</v>
      </c>
      <c r="F102" t="s">
        <v>73</v>
      </c>
      <c r="G102" t="s">
        <v>74</v>
      </c>
      <c r="H102" t="s">
        <v>64</v>
      </c>
      <c r="I102">
        <v>9</v>
      </c>
      <c r="J102">
        <v>22000</v>
      </c>
      <c r="K102">
        <v>13200</v>
      </c>
      <c r="L102">
        <v>1.7000000000000001E-2</v>
      </c>
      <c r="M102">
        <v>0</v>
      </c>
      <c r="N102">
        <v>30</v>
      </c>
      <c r="O102">
        <v>21626</v>
      </c>
      <c r="P102">
        <v>194634</v>
      </c>
      <c r="Q102">
        <v>118800</v>
      </c>
      <c r="R102">
        <v>75834</v>
      </c>
      <c r="S102">
        <v>39</v>
      </c>
      <c r="T102">
        <v>0.06</v>
      </c>
      <c r="U102">
        <v>11678.04</v>
      </c>
    </row>
    <row r="103" spans="1:21" x14ac:dyDescent="0.2">
      <c r="A103" t="s">
        <v>164</v>
      </c>
      <c r="B103" t="s">
        <v>30</v>
      </c>
      <c r="C103" t="s">
        <v>35</v>
      </c>
      <c r="D103" t="s">
        <v>67</v>
      </c>
      <c r="E103" t="s">
        <v>41</v>
      </c>
      <c r="F103" t="s">
        <v>46</v>
      </c>
      <c r="G103" t="s">
        <v>47</v>
      </c>
      <c r="H103" t="s">
        <v>70</v>
      </c>
      <c r="I103">
        <v>6</v>
      </c>
      <c r="J103">
        <v>95000</v>
      </c>
      <c r="K103">
        <v>57000</v>
      </c>
      <c r="L103">
        <v>0.113</v>
      </c>
      <c r="M103">
        <v>1</v>
      </c>
      <c r="N103">
        <v>29</v>
      </c>
      <c r="O103">
        <v>84265</v>
      </c>
      <c r="P103">
        <v>505590</v>
      </c>
      <c r="Q103">
        <v>342000</v>
      </c>
      <c r="R103">
        <v>163590</v>
      </c>
      <c r="S103">
        <v>32.4</v>
      </c>
      <c r="T103">
        <v>2.5000000000000001E-2</v>
      </c>
      <c r="U103">
        <v>12639.75</v>
      </c>
    </row>
    <row r="104" spans="1:21" x14ac:dyDescent="0.2">
      <c r="A104" t="s">
        <v>165</v>
      </c>
      <c r="B104" t="s">
        <v>34</v>
      </c>
      <c r="C104" t="s">
        <v>50</v>
      </c>
      <c r="D104" t="s">
        <v>40</v>
      </c>
      <c r="E104" t="s">
        <v>41</v>
      </c>
      <c r="F104" t="s">
        <v>86</v>
      </c>
      <c r="G104" t="s">
        <v>87</v>
      </c>
      <c r="H104" t="s">
        <v>28</v>
      </c>
      <c r="I104">
        <v>1</v>
      </c>
      <c r="J104">
        <v>28000</v>
      </c>
      <c r="K104">
        <v>16800</v>
      </c>
      <c r="L104">
        <v>0.121</v>
      </c>
      <c r="M104">
        <v>1</v>
      </c>
      <c r="N104">
        <v>4</v>
      </c>
      <c r="O104">
        <v>24612</v>
      </c>
      <c r="P104">
        <v>24612</v>
      </c>
      <c r="Q104">
        <v>16800</v>
      </c>
      <c r="R104">
        <v>7812</v>
      </c>
      <c r="S104">
        <v>31.7</v>
      </c>
      <c r="T104">
        <v>2.5000000000000001E-2</v>
      </c>
      <c r="U104">
        <v>615.29999999999995</v>
      </c>
    </row>
    <row r="105" spans="1:21" x14ac:dyDescent="0.2">
      <c r="A105" t="s">
        <v>166</v>
      </c>
      <c r="B105" t="s">
        <v>30</v>
      </c>
      <c r="C105" t="s">
        <v>35</v>
      </c>
      <c r="D105" t="s">
        <v>31</v>
      </c>
      <c r="E105" t="s">
        <v>25</v>
      </c>
      <c r="F105" t="s">
        <v>26</v>
      </c>
      <c r="G105" t="s">
        <v>27</v>
      </c>
      <c r="H105" t="s">
        <v>52</v>
      </c>
      <c r="I105">
        <v>6</v>
      </c>
      <c r="J105">
        <v>35000</v>
      </c>
      <c r="K105">
        <v>21000</v>
      </c>
      <c r="L105">
        <v>4.2000000000000003E-2</v>
      </c>
      <c r="M105">
        <v>1</v>
      </c>
      <c r="N105">
        <v>40</v>
      </c>
      <c r="O105">
        <v>33530</v>
      </c>
      <c r="P105">
        <v>201180</v>
      </c>
      <c r="Q105">
        <v>126000</v>
      </c>
      <c r="R105">
        <v>75180</v>
      </c>
      <c r="S105">
        <v>37.4</v>
      </c>
      <c r="T105">
        <v>0.06</v>
      </c>
      <c r="U105">
        <v>12070.8</v>
      </c>
    </row>
    <row r="106" spans="1:21" x14ac:dyDescent="0.2">
      <c r="A106" t="s">
        <v>167</v>
      </c>
      <c r="B106" t="s">
        <v>22</v>
      </c>
      <c r="C106" t="s">
        <v>50</v>
      </c>
      <c r="D106" t="s">
        <v>31</v>
      </c>
      <c r="E106" t="s">
        <v>25</v>
      </c>
      <c r="F106" t="s">
        <v>26</v>
      </c>
      <c r="G106" t="s">
        <v>27</v>
      </c>
      <c r="H106" t="s">
        <v>75</v>
      </c>
      <c r="I106">
        <v>6</v>
      </c>
      <c r="J106">
        <v>35000</v>
      </c>
      <c r="K106">
        <v>21000</v>
      </c>
      <c r="L106">
        <v>7.5999999999999998E-2</v>
      </c>
      <c r="M106">
        <v>1</v>
      </c>
      <c r="N106">
        <v>5</v>
      </c>
      <c r="O106">
        <v>32340</v>
      </c>
      <c r="P106">
        <v>194040</v>
      </c>
      <c r="Q106">
        <v>126000</v>
      </c>
      <c r="R106">
        <v>68040</v>
      </c>
      <c r="S106">
        <v>35.1</v>
      </c>
      <c r="T106">
        <v>0.06</v>
      </c>
      <c r="U106">
        <v>11642.4</v>
      </c>
    </row>
    <row r="107" spans="1:21" x14ac:dyDescent="0.2">
      <c r="A107" t="s">
        <v>168</v>
      </c>
      <c r="B107" t="s">
        <v>30</v>
      </c>
      <c r="C107" t="s">
        <v>35</v>
      </c>
      <c r="D107" t="s">
        <v>83</v>
      </c>
      <c r="E107" t="s">
        <v>25</v>
      </c>
      <c r="F107" t="s">
        <v>73</v>
      </c>
      <c r="G107" t="s">
        <v>74</v>
      </c>
      <c r="H107" t="s">
        <v>28</v>
      </c>
      <c r="I107">
        <v>2</v>
      </c>
      <c r="J107">
        <v>22000</v>
      </c>
      <c r="K107">
        <v>13200</v>
      </c>
      <c r="L107">
        <v>8.6999999999999994E-2</v>
      </c>
      <c r="M107">
        <v>1</v>
      </c>
      <c r="N107">
        <v>27</v>
      </c>
      <c r="O107">
        <v>20086</v>
      </c>
      <c r="P107">
        <v>40172</v>
      </c>
      <c r="Q107">
        <v>26400</v>
      </c>
      <c r="R107">
        <v>13772</v>
      </c>
      <c r="S107">
        <v>34.299999999999997</v>
      </c>
      <c r="T107">
        <v>0.06</v>
      </c>
      <c r="U107">
        <v>2410.3200000000002</v>
      </c>
    </row>
    <row r="108" spans="1:21" x14ac:dyDescent="0.2">
      <c r="A108" t="s">
        <v>169</v>
      </c>
      <c r="B108" t="s">
        <v>22</v>
      </c>
      <c r="C108" t="s">
        <v>50</v>
      </c>
      <c r="D108" t="s">
        <v>55</v>
      </c>
      <c r="E108" t="s">
        <v>41</v>
      </c>
      <c r="F108" t="s">
        <v>51</v>
      </c>
      <c r="G108" t="s">
        <v>37</v>
      </c>
      <c r="H108" t="s">
        <v>59</v>
      </c>
      <c r="I108">
        <v>11</v>
      </c>
      <c r="J108">
        <v>32000</v>
      </c>
      <c r="K108">
        <v>19200</v>
      </c>
      <c r="L108">
        <v>0.17899999999999999</v>
      </c>
      <c r="M108">
        <v>1</v>
      </c>
      <c r="N108">
        <v>14</v>
      </c>
      <c r="O108">
        <v>26272</v>
      </c>
      <c r="P108">
        <v>288992</v>
      </c>
      <c r="Q108">
        <v>211200</v>
      </c>
      <c r="R108">
        <v>77792</v>
      </c>
      <c r="S108">
        <v>26.9</v>
      </c>
      <c r="T108">
        <v>2.5000000000000001E-2</v>
      </c>
      <c r="U108">
        <v>7224.8</v>
      </c>
    </row>
    <row r="109" spans="1:21" x14ac:dyDescent="0.2">
      <c r="A109" t="s">
        <v>170</v>
      </c>
      <c r="B109" t="s">
        <v>30</v>
      </c>
      <c r="C109" t="s">
        <v>50</v>
      </c>
      <c r="D109" t="s">
        <v>40</v>
      </c>
      <c r="E109" t="s">
        <v>41</v>
      </c>
      <c r="F109" t="s">
        <v>26</v>
      </c>
      <c r="G109" t="s">
        <v>27</v>
      </c>
      <c r="H109" t="s">
        <v>38</v>
      </c>
      <c r="I109">
        <v>4</v>
      </c>
      <c r="J109">
        <v>35000</v>
      </c>
      <c r="K109">
        <v>21000</v>
      </c>
      <c r="L109">
        <v>9.6000000000000002E-2</v>
      </c>
      <c r="M109">
        <v>1</v>
      </c>
      <c r="N109">
        <v>41</v>
      </c>
      <c r="O109">
        <v>31640</v>
      </c>
      <c r="P109">
        <v>126560</v>
      </c>
      <c r="Q109">
        <v>84000</v>
      </c>
      <c r="R109">
        <v>42560</v>
      </c>
      <c r="S109">
        <v>33.6</v>
      </c>
      <c r="T109">
        <v>2.5000000000000001E-2</v>
      </c>
      <c r="U109">
        <v>3164</v>
      </c>
    </row>
    <row r="110" spans="1:21" x14ac:dyDescent="0.2">
      <c r="A110" t="s">
        <v>171</v>
      </c>
      <c r="B110" t="s">
        <v>22</v>
      </c>
      <c r="C110" t="s">
        <v>35</v>
      </c>
      <c r="D110" t="s">
        <v>67</v>
      </c>
      <c r="E110" t="s">
        <v>41</v>
      </c>
      <c r="F110" t="s">
        <v>56</v>
      </c>
      <c r="G110" t="s">
        <v>57</v>
      </c>
      <c r="H110" t="s">
        <v>59</v>
      </c>
      <c r="I110">
        <v>4</v>
      </c>
      <c r="J110">
        <v>180000</v>
      </c>
      <c r="K110">
        <v>108000</v>
      </c>
      <c r="L110">
        <v>5.2999999999999999E-2</v>
      </c>
      <c r="M110">
        <v>1</v>
      </c>
      <c r="N110">
        <v>26</v>
      </c>
      <c r="O110">
        <v>170460</v>
      </c>
      <c r="P110">
        <v>681840</v>
      </c>
      <c r="Q110">
        <v>432000</v>
      </c>
      <c r="R110">
        <v>249840</v>
      </c>
      <c r="S110">
        <v>36.6</v>
      </c>
      <c r="T110">
        <v>2.5000000000000001E-2</v>
      </c>
      <c r="U110">
        <v>17046</v>
      </c>
    </row>
    <row r="111" spans="1:21" x14ac:dyDescent="0.2">
      <c r="A111" t="s">
        <v>172</v>
      </c>
      <c r="B111" t="s">
        <v>30</v>
      </c>
      <c r="C111" t="s">
        <v>23</v>
      </c>
      <c r="D111" t="s">
        <v>67</v>
      </c>
      <c r="E111" t="s">
        <v>41</v>
      </c>
      <c r="F111" t="s">
        <v>62</v>
      </c>
      <c r="G111" t="s">
        <v>57</v>
      </c>
      <c r="H111" t="s">
        <v>59</v>
      </c>
      <c r="I111">
        <v>6</v>
      </c>
      <c r="J111">
        <v>45000</v>
      </c>
      <c r="K111">
        <v>27000</v>
      </c>
      <c r="L111">
        <v>1.9E-2</v>
      </c>
      <c r="M111">
        <v>1</v>
      </c>
      <c r="N111">
        <v>11</v>
      </c>
      <c r="O111">
        <v>44145</v>
      </c>
      <c r="P111">
        <v>264870</v>
      </c>
      <c r="Q111">
        <v>162000</v>
      </c>
      <c r="R111">
        <v>102870</v>
      </c>
      <c r="S111">
        <v>38.799999999999997</v>
      </c>
      <c r="T111">
        <v>2.5000000000000001E-2</v>
      </c>
      <c r="U111">
        <v>6621.75</v>
      </c>
    </row>
    <row r="112" spans="1:21" x14ac:dyDescent="0.2">
      <c r="A112" t="s">
        <v>173</v>
      </c>
      <c r="B112" t="s">
        <v>30</v>
      </c>
      <c r="C112" t="s">
        <v>81</v>
      </c>
      <c r="D112" t="s">
        <v>55</v>
      </c>
      <c r="E112" t="s">
        <v>41</v>
      </c>
      <c r="F112" t="s">
        <v>62</v>
      </c>
      <c r="G112" t="s">
        <v>57</v>
      </c>
      <c r="H112" t="s">
        <v>32</v>
      </c>
      <c r="I112">
        <v>2</v>
      </c>
      <c r="J112">
        <v>45000</v>
      </c>
      <c r="K112">
        <v>27000</v>
      </c>
      <c r="L112">
        <v>0.13</v>
      </c>
      <c r="M112">
        <v>1</v>
      </c>
      <c r="N112">
        <v>22</v>
      </c>
      <c r="O112">
        <v>39150</v>
      </c>
      <c r="P112">
        <v>78300</v>
      </c>
      <c r="Q112">
        <v>54000</v>
      </c>
      <c r="R112">
        <v>24300</v>
      </c>
      <c r="S112">
        <v>31</v>
      </c>
      <c r="T112">
        <v>2.5000000000000001E-2</v>
      </c>
      <c r="U112">
        <v>1957.5</v>
      </c>
    </row>
    <row r="113" spans="1:21" x14ac:dyDescent="0.2">
      <c r="A113" t="s">
        <v>174</v>
      </c>
      <c r="B113" t="s">
        <v>54</v>
      </c>
      <c r="C113" t="s">
        <v>35</v>
      </c>
      <c r="D113" t="s">
        <v>67</v>
      </c>
      <c r="E113" t="s">
        <v>41</v>
      </c>
      <c r="F113" t="s">
        <v>86</v>
      </c>
      <c r="G113" t="s">
        <v>87</v>
      </c>
      <c r="H113" t="s">
        <v>70</v>
      </c>
      <c r="I113">
        <v>3</v>
      </c>
      <c r="J113">
        <v>28000</v>
      </c>
      <c r="K113">
        <v>16800</v>
      </c>
      <c r="L113">
        <v>1.7999999999999999E-2</v>
      </c>
      <c r="M113">
        <v>1</v>
      </c>
      <c r="N113">
        <v>10</v>
      </c>
      <c r="O113">
        <v>27496</v>
      </c>
      <c r="P113">
        <v>82488</v>
      </c>
      <c r="Q113">
        <v>50400</v>
      </c>
      <c r="R113">
        <v>32088</v>
      </c>
      <c r="S113">
        <v>38.9</v>
      </c>
      <c r="T113">
        <v>2.5000000000000001E-2</v>
      </c>
      <c r="U113">
        <v>2062.1999999999998</v>
      </c>
    </row>
    <row r="114" spans="1:21" x14ac:dyDescent="0.2">
      <c r="A114" t="s">
        <v>175</v>
      </c>
      <c r="B114" t="s">
        <v>30</v>
      </c>
      <c r="C114" t="s">
        <v>81</v>
      </c>
      <c r="D114" t="s">
        <v>24</v>
      </c>
      <c r="E114" t="s">
        <v>25</v>
      </c>
      <c r="F114" t="s">
        <v>26</v>
      </c>
      <c r="G114" t="s">
        <v>27</v>
      </c>
      <c r="H114" t="s">
        <v>52</v>
      </c>
      <c r="I114">
        <v>6</v>
      </c>
      <c r="J114">
        <v>35000</v>
      </c>
      <c r="K114">
        <v>21000</v>
      </c>
      <c r="L114">
        <v>6.3E-2</v>
      </c>
      <c r="M114">
        <v>0</v>
      </c>
      <c r="N114">
        <v>33</v>
      </c>
      <c r="O114">
        <v>32795</v>
      </c>
      <c r="P114">
        <v>196770</v>
      </c>
      <c r="Q114">
        <v>126000</v>
      </c>
      <c r="R114">
        <v>70770</v>
      </c>
      <c r="S114">
        <v>36</v>
      </c>
      <c r="T114">
        <v>0.06</v>
      </c>
      <c r="U114">
        <v>11806.2</v>
      </c>
    </row>
    <row r="115" spans="1:21" x14ac:dyDescent="0.2">
      <c r="A115" t="s">
        <v>176</v>
      </c>
      <c r="B115" t="s">
        <v>54</v>
      </c>
      <c r="C115" t="s">
        <v>23</v>
      </c>
      <c r="D115" t="s">
        <v>45</v>
      </c>
      <c r="E115" t="s">
        <v>25</v>
      </c>
      <c r="F115" t="s">
        <v>73</v>
      </c>
      <c r="G115" t="s">
        <v>74</v>
      </c>
      <c r="H115" t="s">
        <v>75</v>
      </c>
      <c r="I115">
        <v>8</v>
      </c>
      <c r="J115">
        <v>22000</v>
      </c>
      <c r="K115">
        <v>13200</v>
      </c>
      <c r="L115">
        <v>0.01</v>
      </c>
      <c r="M115">
        <v>0</v>
      </c>
      <c r="N115">
        <v>21</v>
      </c>
      <c r="O115">
        <v>21780</v>
      </c>
      <c r="P115">
        <v>174240</v>
      </c>
      <c r="Q115">
        <v>105600</v>
      </c>
      <c r="R115">
        <v>68640</v>
      </c>
      <c r="S115">
        <v>39.4</v>
      </c>
      <c r="T115">
        <v>0.06</v>
      </c>
      <c r="U115">
        <v>10454.4</v>
      </c>
    </row>
    <row r="116" spans="1:21" x14ac:dyDescent="0.2">
      <c r="A116" t="s">
        <v>177</v>
      </c>
      <c r="B116" t="s">
        <v>22</v>
      </c>
      <c r="C116" t="s">
        <v>23</v>
      </c>
      <c r="D116" t="s">
        <v>40</v>
      </c>
      <c r="E116" t="s">
        <v>41</v>
      </c>
      <c r="F116" t="s">
        <v>51</v>
      </c>
      <c r="G116" t="s">
        <v>37</v>
      </c>
      <c r="H116" t="s">
        <v>70</v>
      </c>
      <c r="I116">
        <v>1</v>
      </c>
      <c r="J116">
        <v>32000</v>
      </c>
      <c r="K116">
        <v>19200</v>
      </c>
      <c r="L116">
        <v>0.18099999999999999</v>
      </c>
      <c r="M116">
        <v>1</v>
      </c>
      <c r="N116">
        <v>8</v>
      </c>
      <c r="O116">
        <v>26208</v>
      </c>
      <c r="P116">
        <v>26208</v>
      </c>
      <c r="Q116">
        <v>19200</v>
      </c>
      <c r="R116">
        <v>7008</v>
      </c>
      <c r="S116">
        <v>26.7</v>
      </c>
      <c r="T116">
        <v>2.5000000000000001E-2</v>
      </c>
      <c r="U116">
        <v>655.20000000000005</v>
      </c>
    </row>
    <row r="117" spans="1:21" x14ac:dyDescent="0.2">
      <c r="A117" t="s">
        <v>178</v>
      </c>
      <c r="B117" t="s">
        <v>30</v>
      </c>
      <c r="C117" t="s">
        <v>35</v>
      </c>
      <c r="D117" t="s">
        <v>40</v>
      </c>
      <c r="E117" t="s">
        <v>41</v>
      </c>
      <c r="F117" t="s">
        <v>46</v>
      </c>
      <c r="G117" t="s">
        <v>47</v>
      </c>
      <c r="H117" t="s">
        <v>32</v>
      </c>
      <c r="I117">
        <v>3</v>
      </c>
      <c r="J117">
        <v>95000</v>
      </c>
      <c r="K117">
        <v>57000</v>
      </c>
      <c r="L117">
        <v>4.1000000000000002E-2</v>
      </c>
      <c r="M117">
        <v>0</v>
      </c>
      <c r="N117">
        <v>39</v>
      </c>
      <c r="O117">
        <v>91105</v>
      </c>
      <c r="P117">
        <v>273315</v>
      </c>
      <c r="Q117">
        <v>171000</v>
      </c>
      <c r="R117">
        <v>102315</v>
      </c>
      <c r="S117">
        <v>37.4</v>
      </c>
      <c r="T117">
        <v>2.5000000000000001E-2</v>
      </c>
      <c r="U117">
        <v>6832.88</v>
      </c>
    </row>
    <row r="118" spans="1:21" x14ac:dyDescent="0.2">
      <c r="A118" t="s">
        <v>179</v>
      </c>
      <c r="B118" t="s">
        <v>22</v>
      </c>
      <c r="C118" t="s">
        <v>23</v>
      </c>
      <c r="D118" t="s">
        <v>67</v>
      </c>
      <c r="E118" t="s">
        <v>41</v>
      </c>
      <c r="F118" t="s">
        <v>62</v>
      </c>
      <c r="G118" t="s">
        <v>57</v>
      </c>
      <c r="H118" t="s">
        <v>28</v>
      </c>
      <c r="I118">
        <v>14</v>
      </c>
      <c r="J118">
        <v>45000</v>
      </c>
      <c r="K118">
        <v>27000</v>
      </c>
      <c r="L118">
        <v>0.113</v>
      </c>
      <c r="M118">
        <v>1</v>
      </c>
      <c r="N118">
        <v>38</v>
      </c>
      <c r="O118">
        <v>39915</v>
      </c>
      <c r="P118">
        <v>558810</v>
      </c>
      <c r="Q118">
        <v>378000</v>
      </c>
      <c r="R118">
        <v>180810</v>
      </c>
      <c r="S118">
        <v>32.4</v>
      </c>
      <c r="T118">
        <v>2.5000000000000001E-2</v>
      </c>
      <c r="U118">
        <v>13970.25</v>
      </c>
    </row>
    <row r="119" spans="1:21" x14ac:dyDescent="0.2">
      <c r="A119" t="s">
        <v>180</v>
      </c>
      <c r="B119" t="s">
        <v>22</v>
      </c>
      <c r="C119" t="s">
        <v>50</v>
      </c>
      <c r="D119" t="s">
        <v>55</v>
      </c>
      <c r="E119" t="s">
        <v>41</v>
      </c>
      <c r="F119" t="s">
        <v>36</v>
      </c>
      <c r="G119" t="s">
        <v>37</v>
      </c>
      <c r="H119" t="s">
        <v>52</v>
      </c>
      <c r="I119">
        <v>8</v>
      </c>
      <c r="J119">
        <v>8500</v>
      </c>
      <c r="K119">
        <v>5100</v>
      </c>
      <c r="L119">
        <v>7.5999999999999998E-2</v>
      </c>
      <c r="M119">
        <v>1</v>
      </c>
      <c r="N119">
        <v>43</v>
      </c>
      <c r="O119">
        <v>7854</v>
      </c>
      <c r="P119">
        <v>62832</v>
      </c>
      <c r="Q119">
        <v>40800</v>
      </c>
      <c r="R119">
        <v>22032</v>
      </c>
      <c r="S119">
        <v>35.1</v>
      </c>
      <c r="T119">
        <v>2.5000000000000001E-2</v>
      </c>
      <c r="U119">
        <v>1570.8</v>
      </c>
    </row>
    <row r="120" spans="1:21" x14ac:dyDescent="0.2">
      <c r="A120" t="s">
        <v>181</v>
      </c>
      <c r="B120" t="s">
        <v>34</v>
      </c>
      <c r="C120" t="s">
        <v>35</v>
      </c>
      <c r="D120" t="s">
        <v>31</v>
      </c>
      <c r="E120" t="s">
        <v>25</v>
      </c>
      <c r="F120" t="s">
        <v>36</v>
      </c>
      <c r="G120" t="s">
        <v>37</v>
      </c>
      <c r="H120" t="s">
        <v>42</v>
      </c>
      <c r="I120">
        <v>8</v>
      </c>
      <c r="J120">
        <v>8500</v>
      </c>
      <c r="K120">
        <v>5100</v>
      </c>
      <c r="L120">
        <v>6.0000000000000001E-3</v>
      </c>
      <c r="M120">
        <v>1</v>
      </c>
      <c r="N120">
        <v>35</v>
      </c>
      <c r="O120">
        <v>8449</v>
      </c>
      <c r="P120">
        <v>67592</v>
      </c>
      <c r="Q120">
        <v>40800</v>
      </c>
      <c r="R120">
        <v>26792</v>
      </c>
      <c r="S120">
        <v>39.6</v>
      </c>
      <c r="T120">
        <v>0.06</v>
      </c>
      <c r="U120">
        <v>4055.52</v>
      </c>
    </row>
    <row r="121" spans="1:21" x14ac:dyDescent="0.2">
      <c r="A121" t="s">
        <v>182</v>
      </c>
      <c r="B121" t="s">
        <v>34</v>
      </c>
      <c r="C121" t="s">
        <v>35</v>
      </c>
      <c r="D121" t="s">
        <v>24</v>
      </c>
      <c r="E121" t="s">
        <v>25</v>
      </c>
      <c r="F121" t="s">
        <v>51</v>
      </c>
      <c r="G121" t="s">
        <v>37</v>
      </c>
      <c r="H121" t="s">
        <v>42</v>
      </c>
      <c r="I121">
        <v>1</v>
      </c>
      <c r="J121">
        <v>32000</v>
      </c>
      <c r="K121">
        <v>19200</v>
      </c>
      <c r="L121">
        <v>1E-3</v>
      </c>
      <c r="M121">
        <v>1</v>
      </c>
      <c r="N121">
        <v>24</v>
      </c>
      <c r="O121">
        <v>31968</v>
      </c>
      <c r="P121">
        <v>31968</v>
      </c>
      <c r="Q121">
        <v>19200</v>
      </c>
      <c r="R121">
        <v>12768</v>
      </c>
      <c r="S121">
        <v>39.9</v>
      </c>
      <c r="T121">
        <v>0.06</v>
      </c>
      <c r="U121">
        <v>1918.08</v>
      </c>
    </row>
    <row r="122" spans="1:21" x14ac:dyDescent="0.2">
      <c r="A122" t="s">
        <v>183</v>
      </c>
      <c r="B122" t="s">
        <v>54</v>
      </c>
      <c r="C122" t="s">
        <v>44</v>
      </c>
      <c r="D122" t="s">
        <v>55</v>
      </c>
      <c r="E122" t="s">
        <v>41</v>
      </c>
      <c r="F122" t="s">
        <v>46</v>
      </c>
      <c r="G122" t="s">
        <v>47</v>
      </c>
      <c r="H122" t="s">
        <v>48</v>
      </c>
      <c r="I122">
        <v>5</v>
      </c>
      <c r="J122">
        <v>95000</v>
      </c>
      <c r="K122">
        <v>57000</v>
      </c>
      <c r="L122">
        <v>6.0999999999999999E-2</v>
      </c>
      <c r="M122">
        <v>0</v>
      </c>
      <c r="N122">
        <v>29</v>
      </c>
      <c r="O122">
        <v>89205</v>
      </c>
      <c r="P122">
        <v>446025</v>
      </c>
      <c r="Q122">
        <v>285000</v>
      </c>
      <c r="R122">
        <v>161025</v>
      </c>
      <c r="S122">
        <v>36.1</v>
      </c>
      <c r="T122">
        <v>2.5000000000000001E-2</v>
      </c>
      <c r="U122">
        <v>11150.62</v>
      </c>
    </row>
    <row r="123" spans="1:21" x14ac:dyDescent="0.2">
      <c r="A123" t="s">
        <v>184</v>
      </c>
      <c r="B123" t="s">
        <v>54</v>
      </c>
      <c r="C123" t="s">
        <v>23</v>
      </c>
      <c r="D123" t="s">
        <v>67</v>
      </c>
      <c r="E123" t="s">
        <v>41</v>
      </c>
      <c r="F123" t="s">
        <v>56</v>
      </c>
      <c r="G123" t="s">
        <v>57</v>
      </c>
      <c r="H123" t="s">
        <v>70</v>
      </c>
      <c r="I123">
        <v>4</v>
      </c>
      <c r="J123">
        <v>180000</v>
      </c>
      <c r="K123">
        <v>108000</v>
      </c>
      <c r="L123">
        <v>3.3000000000000002E-2</v>
      </c>
      <c r="M123">
        <v>1</v>
      </c>
      <c r="N123">
        <v>31</v>
      </c>
      <c r="O123">
        <v>174060</v>
      </c>
      <c r="P123">
        <v>696240</v>
      </c>
      <c r="Q123">
        <v>432000</v>
      </c>
      <c r="R123">
        <v>264240</v>
      </c>
      <c r="S123">
        <v>38</v>
      </c>
      <c r="T123">
        <v>2.5000000000000001E-2</v>
      </c>
      <c r="U123">
        <v>17406</v>
      </c>
    </row>
    <row r="124" spans="1:21" x14ac:dyDescent="0.2">
      <c r="A124" t="s">
        <v>185</v>
      </c>
      <c r="B124" t="s">
        <v>34</v>
      </c>
      <c r="C124" t="s">
        <v>35</v>
      </c>
      <c r="D124" t="s">
        <v>31</v>
      </c>
      <c r="E124" t="s">
        <v>25</v>
      </c>
      <c r="F124" t="s">
        <v>56</v>
      </c>
      <c r="G124" t="s">
        <v>57</v>
      </c>
      <c r="H124" t="s">
        <v>38</v>
      </c>
      <c r="I124">
        <v>7</v>
      </c>
      <c r="J124">
        <v>180000</v>
      </c>
      <c r="K124">
        <v>108000</v>
      </c>
      <c r="L124">
        <v>0.05</v>
      </c>
      <c r="M124">
        <v>1</v>
      </c>
      <c r="N124">
        <v>5</v>
      </c>
      <c r="O124">
        <v>171000</v>
      </c>
      <c r="P124">
        <v>1197000</v>
      </c>
      <c r="Q124">
        <v>756000</v>
      </c>
      <c r="R124">
        <v>441000</v>
      </c>
      <c r="S124">
        <v>36.799999999999997</v>
      </c>
      <c r="T124">
        <v>0.06</v>
      </c>
      <c r="U124">
        <v>71820</v>
      </c>
    </row>
    <row r="125" spans="1:21" x14ac:dyDescent="0.2">
      <c r="A125" t="s">
        <v>186</v>
      </c>
      <c r="B125" t="s">
        <v>54</v>
      </c>
      <c r="C125" t="s">
        <v>50</v>
      </c>
      <c r="D125" t="s">
        <v>45</v>
      </c>
      <c r="E125" t="s">
        <v>25</v>
      </c>
      <c r="F125" t="s">
        <v>86</v>
      </c>
      <c r="G125" t="s">
        <v>87</v>
      </c>
      <c r="H125" t="s">
        <v>52</v>
      </c>
      <c r="I125">
        <v>6</v>
      </c>
      <c r="J125">
        <v>28000</v>
      </c>
      <c r="K125">
        <v>16800</v>
      </c>
      <c r="L125">
        <v>8.0000000000000002E-3</v>
      </c>
      <c r="M125">
        <v>0</v>
      </c>
      <c r="N125">
        <v>4</v>
      </c>
      <c r="O125">
        <v>27776</v>
      </c>
      <c r="P125">
        <v>166656</v>
      </c>
      <c r="Q125">
        <v>100800</v>
      </c>
      <c r="R125">
        <v>65856</v>
      </c>
      <c r="S125">
        <v>39.5</v>
      </c>
      <c r="T125">
        <v>0.06</v>
      </c>
      <c r="U125">
        <v>9999.36</v>
      </c>
    </row>
    <row r="126" spans="1:21" x14ac:dyDescent="0.2">
      <c r="A126" t="s">
        <v>187</v>
      </c>
      <c r="B126" t="s">
        <v>30</v>
      </c>
      <c r="C126" t="s">
        <v>44</v>
      </c>
      <c r="D126" t="s">
        <v>24</v>
      </c>
      <c r="E126" t="s">
        <v>25</v>
      </c>
      <c r="F126" t="s">
        <v>73</v>
      </c>
      <c r="G126" t="s">
        <v>74</v>
      </c>
      <c r="H126" t="s">
        <v>59</v>
      </c>
      <c r="I126">
        <v>3</v>
      </c>
      <c r="J126">
        <v>22000</v>
      </c>
      <c r="K126">
        <v>13200</v>
      </c>
      <c r="L126">
        <v>3.0000000000000001E-3</v>
      </c>
      <c r="M126">
        <v>1</v>
      </c>
      <c r="N126">
        <v>38</v>
      </c>
      <c r="O126">
        <v>21934</v>
      </c>
      <c r="P126">
        <v>65802</v>
      </c>
      <c r="Q126">
        <v>39600</v>
      </c>
      <c r="R126">
        <v>26202</v>
      </c>
      <c r="S126">
        <v>39.799999999999997</v>
      </c>
      <c r="T126">
        <v>0.06</v>
      </c>
      <c r="U126">
        <v>3948.12</v>
      </c>
    </row>
    <row r="127" spans="1:21" x14ac:dyDescent="0.2">
      <c r="A127" t="s">
        <v>188</v>
      </c>
      <c r="B127" t="s">
        <v>54</v>
      </c>
      <c r="C127" t="s">
        <v>50</v>
      </c>
      <c r="D127" t="s">
        <v>31</v>
      </c>
      <c r="E127" t="s">
        <v>25</v>
      </c>
      <c r="F127" t="s">
        <v>73</v>
      </c>
      <c r="G127" t="s">
        <v>74</v>
      </c>
      <c r="H127" t="s">
        <v>28</v>
      </c>
      <c r="I127">
        <v>9</v>
      </c>
      <c r="J127">
        <v>22000</v>
      </c>
      <c r="K127">
        <v>13200</v>
      </c>
      <c r="L127">
        <v>3.1E-2</v>
      </c>
      <c r="M127">
        <v>1</v>
      </c>
      <c r="N127">
        <v>42</v>
      </c>
      <c r="O127">
        <v>21318</v>
      </c>
      <c r="P127">
        <v>191862</v>
      </c>
      <c r="Q127">
        <v>118800</v>
      </c>
      <c r="R127">
        <v>73062</v>
      </c>
      <c r="S127">
        <v>38.1</v>
      </c>
      <c r="T127">
        <v>0.06</v>
      </c>
      <c r="U127">
        <v>11511.72</v>
      </c>
    </row>
    <row r="128" spans="1:21" x14ac:dyDescent="0.2">
      <c r="A128" t="s">
        <v>189</v>
      </c>
      <c r="B128" t="s">
        <v>34</v>
      </c>
      <c r="C128" t="s">
        <v>50</v>
      </c>
      <c r="D128" t="s">
        <v>83</v>
      </c>
      <c r="E128" t="s">
        <v>25</v>
      </c>
      <c r="F128" t="s">
        <v>46</v>
      </c>
      <c r="G128" t="s">
        <v>47</v>
      </c>
      <c r="H128" t="s">
        <v>38</v>
      </c>
      <c r="I128">
        <v>3</v>
      </c>
      <c r="J128">
        <v>95000</v>
      </c>
      <c r="K128">
        <v>57000</v>
      </c>
      <c r="L128">
        <v>0.05</v>
      </c>
      <c r="M128">
        <v>1</v>
      </c>
      <c r="N128">
        <v>14</v>
      </c>
      <c r="O128">
        <v>90250</v>
      </c>
      <c r="P128">
        <v>270750</v>
      </c>
      <c r="Q128">
        <v>171000</v>
      </c>
      <c r="R128">
        <v>99750</v>
      </c>
      <c r="S128">
        <v>36.799999999999997</v>
      </c>
      <c r="T128">
        <v>0.06</v>
      </c>
      <c r="U128">
        <v>16245</v>
      </c>
    </row>
    <row r="129" spans="1:21" x14ac:dyDescent="0.2">
      <c r="A129" t="s">
        <v>190</v>
      </c>
      <c r="B129" t="s">
        <v>22</v>
      </c>
      <c r="C129" t="s">
        <v>23</v>
      </c>
      <c r="D129" t="s">
        <v>67</v>
      </c>
      <c r="E129" t="s">
        <v>41</v>
      </c>
      <c r="F129" t="s">
        <v>36</v>
      </c>
      <c r="G129" t="s">
        <v>37</v>
      </c>
      <c r="H129" t="s">
        <v>32</v>
      </c>
      <c r="I129">
        <v>11</v>
      </c>
      <c r="J129">
        <v>8500</v>
      </c>
      <c r="K129">
        <v>5100</v>
      </c>
      <c r="L129">
        <v>4.0000000000000001E-3</v>
      </c>
      <c r="M129">
        <v>0</v>
      </c>
      <c r="N129">
        <v>43</v>
      </c>
      <c r="O129">
        <v>8466</v>
      </c>
      <c r="P129">
        <v>93126</v>
      </c>
      <c r="Q129">
        <v>56100</v>
      </c>
      <c r="R129">
        <v>37026</v>
      </c>
      <c r="S129">
        <v>39.799999999999997</v>
      </c>
      <c r="T129">
        <v>2.5000000000000001E-2</v>
      </c>
      <c r="U129">
        <v>2328.15</v>
      </c>
    </row>
    <row r="130" spans="1:21" x14ac:dyDescent="0.2">
      <c r="A130" t="s">
        <v>191</v>
      </c>
      <c r="B130" t="s">
        <v>30</v>
      </c>
      <c r="C130" t="s">
        <v>35</v>
      </c>
      <c r="D130" t="s">
        <v>55</v>
      </c>
      <c r="E130" t="s">
        <v>41</v>
      </c>
      <c r="F130" t="s">
        <v>36</v>
      </c>
      <c r="G130" t="s">
        <v>37</v>
      </c>
      <c r="H130" t="s">
        <v>28</v>
      </c>
      <c r="I130">
        <v>2</v>
      </c>
      <c r="J130">
        <v>8500</v>
      </c>
      <c r="K130">
        <v>5100</v>
      </c>
      <c r="L130">
        <v>0.129</v>
      </c>
      <c r="M130">
        <v>0</v>
      </c>
      <c r="N130">
        <v>12</v>
      </c>
      <c r="O130">
        <v>7403.5</v>
      </c>
      <c r="P130">
        <v>14807</v>
      </c>
      <c r="Q130">
        <v>10200</v>
      </c>
      <c r="R130">
        <v>4607</v>
      </c>
      <c r="S130">
        <v>31.1</v>
      </c>
      <c r="T130">
        <v>2.5000000000000001E-2</v>
      </c>
      <c r="U130">
        <v>370.18</v>
      </c>
    </row>
    <row r="131" spans="1:21" x14ac:dyDescent="0.2">
      <c r="A131" t="s">
        <v>192</v>
      </c>
      <c r="B131" t="s">
        <v>34</v>
      </c>
      <c r="C131" t="s">
        <v>35</v>
      </c>
      <c r="D131" t="s">
        <v>40</v>
      </c>
      <c r="E131" t="s">
        <v>41</v>
      </c>
      <c r="F131" t="s">
        <v>36</v>
      </c>
      <c r="G131" t="s">
        <v>37</v>
      </c>
      <c r="H131" t="s">
        <v>48</v>
      </c>
      <c r="I131">
        <v>6</v>
      </c>
      <c r="J131">
        <v>8500</v>
      </c>
      <c r="K131">
        <v>5100</v>
      </c>
      <c r="L131">
        <v>0.158</v>
      </c>
      <c r="M131">
        <v>1</v>
      </c>
      <c r="N131">
        <v>35</v>
      </c>
      <c r="O131">
        <v>7157</v>
      </c>
      <c r="P131">
        <v>42942</v>
      </c>
      <c r="Q131">
        <v>30600</v>
      </c>
      <c r="R131">
        <v>12342</v>
      </c>
      <c r="S131">
        <v>28.7</v>
      </c>
      <c r="T131">
        <v>2.5000000000000001E-2</v>
      </c>
      <c r="U131">
        <v>1073.55</v>
      </c>
    </row>
    <row r="132" spans="1:21" x14ac:dyDescent="0.2">
      <c r="A132" t="s">
        <v>193</v>
      </c>
      <c r="B132" t="s">
        <v>30</v>
      </c>
      <c r="C132" t="s">
        <v>44</v>
      </c>
      <c r="D132" t="s">
        <v>55</v>
      </c>
      <c r="E132" t="s">
        <v>41</v>
      </c>
      <c r="F132" t="s">
        <v>26</v>
      </c>
      <c r="G132" t="s">
        <v>27</v>
      </c>
      <c r="H132" t="s">
        <v>42</v>
      </c>
      <c r="I132">
        <v>7</v>
      </c>
      <c r="J132">
        <v>35000</v>
      </c>
      <c r="K132">
        <v>21000</v>
      </c>
      <c r="L132">
        <v>0.11799999999999999</v>
      </c>
      <c r="M132">
        <v>1</v>
      </c>
      <c r="N132">
        <v>18</v>
      </c>
      <c r="O132">
        <v>30870</v>
      </c>
      <c r="P132">
        <v>216090</v>
      </c>
      <c r="Q132">
        <v>147000</v>
      </c>
      <c r="R132">
        <v>69090</v>
      </c>
      <c r="S132">
        <v>32</v>
      </c>
      <c r="T132">
        <v>2.5000000000000001E-2</v>
      </c>
      <c r="U132">
        <v>5402.25</v>
      </c>
    </row>
    <row r="133" spans="1:21" x14ac:dyDescent="0.2">
      <c r="A133" t="s">
        <v>194</v>
      </c>
      <c r="B133" t="s">
        <v>54</v>
      </c>
      <c r="C133" t="s">
        <v>23</v>
      </c>
      <c r="D133" t="s">
        <v>45</v>
      </c>
      <c r="E133" t="s">
        <v>25</v>
      </c>
      <c r="F133" t="s">
        <v>26</v>
      </c>
      <c r="G133" t="s">
        <v>27</v>
      </c>
      <c r="H133" t="s">
        <v>59</v>
      </c>
      <c r="I133">
        <v>5</v>
      </c>
      <c r="J133">
        <v>35000</v>
      </c>
      <c r="K133">
        <v>21000</v>
      </c>
      <c r="L133">
        <v>6.4000000000000001E-2</v>
      </c>
      <c r="M133">
        <v>1</v>
      </c>
      <c r="N133">
        <v>40</v>
      </c>
      <c r="O133">
        <v>32760</v>
      </c>
      <c r="P133">
        <v>163800</v>
      </c>
      <c r="Q133">
        <v>105000</v>
      </c>
      <c r="R133">
        <v>58800</v>
      </c>
      <c r="S133">
        <v>35.9</v>
      </c>
      <c r="T133">
        <v>0.06</v>
      </c>
      <c r="U133">
        <v>9828</v>
      </c>
    </row>
    <row r="134" spans="1:21" x14ac:dyDescent="0.2">
      <c r="A134" t="s">
        <v>195</v>
      </c>
      <c r="B134" t="s">
        <v>22</v>
      </c>
      <c r="C134" t="s">
        <v>44</v>
      </c>
      <c r="D134" t="s">
        <v>67</v>
      </c>
      <c r="E134" t="s">
        <v>41</v>
      </c>
      <c r="F134" t="s">
        <v>73</v>
      </c>
      <c r="G134" t="s">
        <v>74</v>
      </c>
      <c r="H134" t="s">
        <v>48</v>
      </c>
      <c r="I134">
        <v>2</v>
      </c>
      <c r="J134">
        <v>22000</v>
      </c>
      <c r="K134">
        <v>13200</v>
      </c>
      <c r="L134">
        <v>3.5000000000000003E-2</v>
      </c>
      <c r="M134">
        <v>1</v>
      </c>
      <c r="N134">
        <v>40</v>
      </c>
      <c r="O134">
        <v>21230</v>
      </c>
      <c r="P134">
        <v>42460</v>
      </c>
      <c r="Q134">
        <v>26400</v>
      </c>
      <c r="R134">
        <v>16060</v>
      </c>
      <c r="S134">
        <v>37.799999999999997</v>
      </c>
      <c r="T134">
        <v>2.5000000000000001E-2</v>
      </c>
      <c r="U134">
        <v>1061.5</v>
      </c>
    </row>
    <row r="135" spans="1:21" x14ac:dyDescent="0.2">
      <c r="A135" t="s">
        <v>196</v>
      </c>
      <c r="B135" t="s">
        <v>22</v>
      </c>
      <c r="C135" t="s">
        <v>44</v>
      </c>
      <c r="D135" t="s">
        <v>45</v>
      </c>
      <c r="E135" t="s">
        <v>25</v>
      </c>
      <c r="F135" t="s">
        <v>73</v>
      </c>
      <c r="G135" t="s">
        <v>74</v>
      </c>
      <c r="H135" t="s">
        <v>52</v>
      </c>
      <c r="I135">
        <v>12</v>
      </c>
      <c r="J135">
        <v>22000</v>
      </c>
      <c r="K135">
        <v>13200</v>
      </c>
      <c r="L135">
        <v>5.2999999999999999E-2</v>
      </c>
      <c r="M135">
        <v>1</v>
      </c>
      <c r="N135">
        <v>11</v>
      </c>
      <c r="O135">
        <v>20834</v>
      </c>
      <c r="P135">
        <v>250008</v>
      </c>
      <c r="Q135">
        <v>158400</v>
      </c>
      <c r="R135">
        <v>91608</v>
      </c>
      <c r="S135">
        <v>36.6</v>
      </c>
      <c r="T135">
        <v>0.06</v>
      </c>
      <c r="U135">
        <v>15000.48</v>
      </c>
    </row>
    <row r="136" spans="1:21" x14ac:dyDescent="0.2">
      <c r="A136" t="s">
        <v>197</v>
      </c>
      <c r="B136" t="s">
        <v>34</v>
      </c>
      <c r="C136" t="s">
        <v>50</v>
      </c>
      <c r="D136" t="s">
        <v>83</v>
      </c>
      <c r="E136" t="s">
        <v>25</v>
      </c>
      <c r="F136" t="s">
        <v>73</v>
      </c>
      <c r="G136" t="s">
        <v>74</v>
      </c>
      <c r="H136" t="s">
        <v>32</v>
      </c>
      <c r="I136">
        <v>14</v>
      </c>
      <c r="J136">
        <v>22000</v>
      </c>
      <c r="K136">
        <v>13200</v>
      </c>
      <c r="L136">
        <v>3.7999999999999999E-2</v>
      </c>
      <c r="M136">
        <v>1</v>
      </c>
      <c r="N136">
        <v>38</v>
      </c>
      <c r="O136">
        <v>21164</v>
      </c>
      <c r="P136">
        <v>296296</v>
      </c>
      <c r="Q136">
        <v>184800</v>
      </c>
      <c r="R136">
        <v>111496</v>
      </c>
      <c r="S136">
        <v>37.6</v>
      </c>
      <c r="T136">
        <v>0.06</v>
      </c>
      <c r="U136">
        <v>17777.759999999998</v>
      </c>
    </row>
    <row r="137" spans="1:21" x14ac:dyDescent="0.2">
      <c r="A137" t="s">
        <v>198</v>
      </c>
      <c r="B137" t="s">
        <v>30</v>
      </c>
      <c r="C137" t="s">
        <v>50</v>
      </c>
      <c r="D137" t="s">
        <v>67</v>
      </c>
      <c r="E137" t="s">
        <v>41</v>
      </c>
      <c r="F137" t="s">
        <v>46</v>
      </c>
      <c r="G137" t="s">
        <v>47</v>
      </c>
      <c r="H137" t="s">
        <v>75</v>
      </c>
      <c r="I137">
        <v>14</v>
      </c>
      <c r="J137">
        <v>95000</v>
      </c>
      <c r="K137">
        <v>57000</v>
      </c>
      <c r="L137">
        <v>0.06</v>
      </c>
      <c r="M137">
        <v>0</v>
      </c>
      <c r="N137">
        <v>24</v>
      </c>
      <c r="O137">
        <v>89300</v>
      </c>
      <c r="P137">
        <v>1250200</v>
      </c>
      <c r="Q137">
        <v>798000</v>
      </c>
      <c r="R137">
        <v>452200</v>
      </c>
      <c r="S137">
        <v>36.200000000000003</v>
      </c>
      <c r="T137">
        <v>2.5000000000000001E-2</v>
      </c>
      <c r="U137">
        <v>31255</v>
      </c>
    </row>
    <row r="138" spans="1:21" x14ac:dyDescent="0.2">
      <c r="A138" t="s">
        <v>199</v>
      </c>
      <c r="B138" t="s">
        <v>54</v>
      </c>
      <c r="C138" t="s">
        <v>35</v>
      </c>
      <c r="D138" t="s">
        <v>67</v>
      </c>
      <c r="E138" t="s">
        <v>41</v>
      </c>
      <c r="F138" t="s">
        <v>56</v>
      </c>
      <c r="G138" t="s">
        <v>57</v>
      </c>
      <c r="H138" t="s">
        <v>52</v>
      </c>
      <c r="I138">
        <v>7</v>
      </c>
      <c r="J138">
        <v>180000</v>
      </c>
      <c r="K138">
        <v>108000</v>
      </c>
      <c r="L138">
        <v>0.129</v>
      </c>
      <c r="M138">
        <v>0</v>
      </c>
      <c r="N138">
        <v>21</v>
      </c>
      <c r="O138">
        <v>156780</v>
      </c>
      <c r="P138">
        <v>1097460</v>
      </c>
      <c r="Q138">
        <v>756000</v>
      </c>
      <c r="R138">
        <v>341460</v>
      </c>
      <c r="S138">
        <v>31.1</v>
      </c>
      <c r="T138">
        <v>2.5000000000000001E-2</v>
      </c>
      <c r="U138">
        <v>27436.5</v>
      </c>
    </row>
    <row r="139" spans="1:21" x14ac:dyDescent="0.2">
      <c r="A139" t="s">
        <v>200</v>
      </c>
      <c r="B139" t="s">
        <v>30</v>
      </c>
      <c r="C139" t="s">
        <v>23</v>
      </c>
      <c r="D139" t="s">
        <v>31</v>
      </c>
      <c r="E139" t="s">
        <v>25</v>
      </c>
      <c r="F139" t="s">
        <v>86</v>
      </c>
      <c r="G139" t="s">
        <v>87</v>
      </c>
      <c r="H139" t="s">
        <v>52</v>
      </c>
      <c r="I139">
        <v>9</v>
      </c>
      <c r="J139">
        <v>28000</v>
      </c>
      <c r="K139">
        <v>16800</v>
      </c>
      <c r="L139">
        <v>3.7999999999999999E-2</v>
      </c>
      <c r="M139">
        <v>1</v>
      </c>
      <c r="N139">
        <v>33</v>
      </c>
      <c r="O139">
        <v>26936</v>
      </c>
      <c r="P139">
        <v>242424</v>
      </c>
      <c r="Q139">
        <v>151200</v>
      </c>
      <c r="R139">
        <v>91224</v>
      </c>
      <c r="S139">
        <v>37.6</v>
      </c>
      <c r="T139">
        <v>0.06</v>
      </c>
      <c r="U139">
        <v>14545.44</v>
      </c>
    </row>
    <row r="140" spans="1:21" x14ac:dyDescent="0.2">
      <c r="A140" t="s">
        <v>201</v>
      </c>
      <c r="B140" t="s">
        <v>30</v>
      </c>
      <c r="C140" t="s">
        <v>35</v>
      </c>
      <c r="D140" t="s">
        <v>45</v>
      </c>
      <c r="E140" t="s">
        <v>25</v>
      </c>
      <c r="F140" t="s">
        <v>51</v>
      </c>
      <c r="G140" t="s">
        <v>37</v>
      </c>
      <c r="H140" t="s">
        <v>59</v>
      </c>
      <c r="I140">
        <v>13</v>
      </c>
      <c r="J140">
        <v>32000</v>
      </c>
      <c r="K140">
        <v>19200</v>
      </c>
      <c r="L140">
        <v>8.9999999999999993E-3</v>
      </c>
      <c r="M140">
        <v>0</v>
      </c>
      <c r="N140">
        <v>4</v>
      </c>
      <c r="O140">
        <v>31712</v>
      </c>
      <c r="P140">
        <v>412256</v>
      </c>
      <c r="Q140">
        <v>249600</v>
      </c>
      <c r="R140">
        <v>162656</v>
      </c>
      <c r="S140">
        <v>39.5</v>
      </c>
      <c r="T140">
        <v>0.06</v>
      </c>
      <c r="U140">
        <v>24735.360000000001</v>
      </c>
    </row>
    <row r="141" spans="1:21" x14ac:dyDescent="0.2">
      <c r="A141" t="s">
        <v>202</v>
      </c>
      <c r="B141" t="s">
        <v>54</v>
      </c>
      <c r="C141" t="s">
        <v>23</v>
      </c>
      <c r="D141" t="s">
        <v>45</v>
      </c>
      <c r="E141" t="s">
        <v>25</v>
      </c>
      <c r="F141" t="s">
        <v>36</v>
      </c>
      <c r="G141" t="s">
        <v>37</v>
      </c>
      <c r="H141" t="s">
        <v>59</v>
      </c>
      <c r="I141">
        <v>7</v>
      </c>
      <c r="J141">
        <v>8500</v>
      </c>
      <c r="K141">
        <v>5100</v>
      </c>
      <c r="L141">
        <v>4.2000000000000003E-2</v>
      </c>
      <c r="M141">
        <v>1</v>
      </c>
      <c r="N141">
        <v>8</v>
      </c>
      <c r="O141">
        <v>8143</v>
      </c>
      <c r="P141">
        <v>57001</v>
      </c>
      <c r="Q141">
        <v>35700</v>
      </c>
      <c r="R141">
        <v>21301</v>
      </c>
      <c r="S141">
        <v>37.4</v>
      </c>
      <c r="T141">
        <v>0.06</v>
      </c>
      <c r="U141">
        <v>3420.06</v>
      </c>
    </row>
    <row r="142" spans="1:21" x14ac:dyDescent="0.2">
      <c r="A142" t="s">
        <v>203</v>
      </c>
      <c r="B142" t="s">
        <v>30</v>
      </c>
      <c r="C142" t="s">
        <v>50</v>
      </c>
      <c r="D142" t="s">
        <v>31</v>
      </c>
      <c r="E142" t="s">
        <v>25</v>
      </c>
      <c r="F142" t="s">
        <v>36</v>
      </c>
      <c r="G142" t="s">
        <v>37</v>
      </c>
      <c r="H142" t="s">
        <v>75</v>
      </c>
      <c r="I142">
        <v>1</v>
      </c>
      <c r="J142">
        <v>8500</v>
      </c>
      <c r="K142">
        <v>5100</v>
      </c>
      <c r="L142">
        <v>1.0999999999999999E-2</v>
      </c>
      <c r="M142">
        <v>1</v>
      </c>
      <c r="N142">
        <v>44</v>
      </c>
      <c r="O142">
        <v>8406.5</v>
      </c>
      <c r="P142">
        <v>8406.5</v>
      </c>
      <c r="Q142">
        <v>5100</v>
      </c>
      <c r="R142">
        <v>3306.5</v>
      </c>
      <c r="S142">
        <v>39.299999999999997</v>
      </c>
      <c r="T142">
        <v>0.06</v>
      </c>
      <c r="U142">
        <v>504.39</v>
      </c>
    </row>
    <row r="143" spans="1:21" x14ac:dyDescent="0.2">
      <c r="A143" t="s">
        <v>204</v>
      </c>
      <c r="B143" t="s">
        <v>22</v>
      </c>
      <c r="C143" t="s">
        <v>50</v>
      </c>
      <c r="D143" t="s">
        <v>67</v>
      </c>
      <c r="E143" t="s">
        <v>41</v>
      </c>
      <c r="F143" t="s">
        <v>86</v>
      </c>
      <c r="G143" t="s">
        <v>87</v>
      </c>
      <c r="H143" t="s">
        <v>28</v>
      </c>
      <c r="I143">
        <v>14</v>
      </c>
      <c r="J143">
        <v>28000</v>
      </c>
      <c r="K143">
        <v>16800</v>
      </c>
      <c r="L143">
        <v>6.0000000000000001E-3</v>
      </c>
      <c r="M143">
        <v>1</v>
      </c>
      <c r="N143">
        <v>32</v>
      </c>
      <c r="O143">
        <v>27832</v>
      </c>
      <c r="P143">
        <v>389648</v>
      </c>
      <c r="Q143">
        <v>235200</v>
      </c>
      <c r="R143">
        <v>154448</v>
      </c>
      <c r="S143">
        <v>39.6</v>
      </c>
      <c r="T143">
        <v>2.5000000000000001E-2</v>
      </c>
      <c r="U143">
        <v>9741.2000000000007</v>
      </c>
    </row>
    <row r="144" spans="1:21" x14ac:dyDescent="0.2">
      <c r="A144" t="s">
        <v>205</v>
      </c>
      <c r="B144" t="s">
        <v>22</v>
      </c>
      <c r="C144" t="s">
        <v>23</v>
      </c>
      <c r="D144" t="s">
        <v>55</v>
      </c>
      <c r="E144" t="s">
        <v>41</v>
      </c>
      <c r="F144" t="s">
        <v>56</v>
      </c>
      <c r="G144" t="s">
        <v>57</v>
      </c>
      <c r="H144" t="s">
        <v>48</v>
      </c>
      <c r="I144">
        <v>12</v>
      </c>
      <c r="J144">
        <v>180000</v>
      </c>
      <c r="K144">
        <v>108000</v>
      </c>
      <c r="L144">
        <v>0.11</v>
      </c>
      <c r="M144">
        <v>1</v>
      </c>
      <c r="N144">
        <v>44</v>
      </c>
      <c r="O144">
        <v>160200</v>
      </c>
      <c r="P144">
        <v>1922400</v>
      </c>
      <c r="Q144">
        <v>1296000</v>
      </c>
      <c r="R144">
        <v>626400</v>
      </c>
      <c r="S144">
        <v>32.6</v>
      </c>
      <c r="T144">
        <v>2.5000000000000001E-2</v>
      </c>
      <c r="U144">
        <v>48060</v>
      </c>
    </row>
    <row r="145" spans="1:21" x14ac:dyDescent="0.2">
      <c r="A145" t="s">
        <v>206</v>
      </c>
      <c r="B145" t="s">
        <v>30</v>
      </c>
      <c r="C145" t="s">
        <v>44</v>
      </c>
      <c r="D145" t="s">
        <v>67</v>
      </c>
      <c r="E145" t="s">
        <v>41</v>
      </c>
      <c r="F145" t="s">
        <v>46</v>
      </c>
      <c r="G145" t="s">
        <v>47</v>
      </c>
      <c r="H145" t="s">
        <v>64</v>
      </c>
      <c r="I145">
        <v>12</v>
      </c>
      <c r="J145">
        <v>95000</v>
      </c>
      <c r="K145">
        <v>57000</v>
      </c>
      <c r="L145">
        <v>0.01</v>
      </c>
      <c r="M145">
        <v>1</v>
      </c>
      <c r="N145">
        <v>24</v>
      </c>
      <c r="O145">
        <v>94050</v>
      </c>
      <c r="P145">
        <v>1128600</v>
      </c>
      <c r="Q145">
        <v>684000</v>
      </c>
      <c r="R145">
        <v>444600</v>
      </c>
      <c r="S145">
        <v>39.4</v>
      </c>
      <c r="T145">
        <v>2.5000000000000001E-2</v>
      </c>
      <c r="U145">
        <v>28215</v>
      </c>
    </row>
    <row r="146" spans="1:21" x14ac:dyDescent="0.2">
      <c r="A146" t="s">
        <v>207</v>
      </c>
      <c r="B146" t="s">
        <v>22</v>
      </c>
      <c r="C146" t="s">
        <v>44</v>
      </c>
      <c r="D146" t="s">
        <v>40</v>
      </c>
      <c r="E146" t="s">
        <v>41</v>
      </c>
      <c r="F146" t="s">
        <v>62</v>
      </c>
      <c r="G146" t="s">
        <v>57</v>
      </c>
      <c r="H146" t="s">
        <v>70</v>
      </c>
      <c r="I146">
        <v>9</v>
      </c>
      <c r="J146">
        <v>45000</v>
      </c>
      <c r="K146">
        <v>27000</v>
      </c>
      <c r="L146">
        <v>9.1999999999999998E-2</v>
      </c>
      <c r="M146">
        <v>1</v>
      </c>
      <c r="N146">
        <v>23</v>
      </c>
      <c r="O146">
        <v>40860</v>
      </c>
      <c r="P146">
        <v>367740</v>
      </c>
      <c r="Q146">
        <v>243000</v>
      </c>
      <c r="R146">
        <v>124740</v>
      </c>
      <c r="S146">
        <v>33.9</v>
      </c>
      <c r="T146">
        <v>2.5000000000000001E-2</v>
      </c>
      <c r="U146">
        <v>9193.5</v>
      </c>
    </row>
    <row r="147" spans="1:21" x14ac:dyDescent="0.2">
      <c r="A147" t="s">
        <v>208</v>
      </c>
      <c r="B147" t="s">
        <v>30</v>
      </c>
      <c r="C147" t="s">
        <v>35</v>
      </c>
      <c r="D147" t="s">
        <v>67</v>
      </c>
      <c r="E147" t="s">
        <v>41</v>
      </c>
      <c r="F147" t="s">
        <v>26</v>
      </c>
      <c r="G147" t="s">
        <v>27</v>
      </c>
      <c r="H147" t="s">
        <v>70</v>
      </c>
      <c r="I147">
        <v>2</v>
      </c>
      <c r="J147">
        <v>35000</v>
      </c>
      <c r="K147">
        <v>21000</v>
      </c>
      <c r="L147">
        <v>0.122</v>
      </c>
      <c r="M147">
        <v>1</v>
      </c>
      <c r="N147">
        <v>15</v>
      </c>
      <c r="O147">
        <v>30730</v>
      </c>
      <c r="P147">
        <v>61460</v>
      </c>
      <c r="Q147">
        <v>42000</v>
      </c>
      <c r="R147">
        <v>19460</v>
      </c>
      <c r="S147">
        <v>31.7</v>
      </c>
      <c r="T147">
        <v>2.5000000000000001E-2</v>
      </c>
      <c r="U147">
        <v>1536.5</v>
      </c>
    </row>
    <row r="148" spans="1:21" x14ac:dyDescent="0.2">
      <c r="A148" t="s">
        <v>209</v>
      </c>
      <c r="B148" t="s">
        <v>54</v>
      </c>
      <c r="C148" t="s">
        <v>35</v>
      </c>
      <c r="D148" t="s">
        <v>55</v>
      </c>
      <c r="E148" t="s">
        <v>41</v>
      </c>
      <c r="F148" t="s">
        <v>36</v>
      </c>
      <c r="G148" t="s">
        <v>37</v>
      </c>
      <c r="H148" t="s">
        <v>52</v>
      </c>
      <c r="I148">
        <v>12</v>
      </c>
      <c r="J148">
        <v>8500</v>
      </c>
      <c r="K148">
        <v>5100</v>
      </c>
      <c r="L148">
        <v>0.16</v>
      </c>
      <c r="M148">
        <v>1</v>
      </c>
      <c r="N148">
        <v>35</v>
      </c>
      <c r="O148">
        <v>7140</v>
      </c>
      <c r="P148">
        <v>85680</v>
      </c>
      <c r="Q148">
        <v>61200</v>
      </c>
      <c r="R148">
        <v>24480</v>
      </c>
      <c r="S148">
        <v>28.6</v>
      </c>
      <c r="T148">
        <v>2.5000000000000001E-2</v>
      </c>
      <c r="U148">
        <v>2142</v>
      </c>
    </row>
    <row r="149" spans="1:21" x14ac:dyDescent="0.2">
      <c r="A149" t="s">
        <v>210</v>
      </c>
      <c r="B149" t="s">
        <v>54</v>
      </c>
      <c r="C149" t="s">
        <v>81</v>
      </c>
      <c r="D149" t="s">
        <v>67</v>
      </c>
      <c r="E149" t="s">
        <v>41</v>
      </c>
      <c r="F149" t="s">
        <v>26</v>
      </c>
      <c r="G149" t="s">
        <v>27</v>
      </c>
      <c r="H149" t="s">
        <v>48</v>
      </c>
      <c r="I149">
        <v>3</v>
      </c>
      <c r="J149">
        <v>35000</v>
      </c>
      <c r="K149">
        <v>21000</v>
      </c>
      <c r="L149">
        <v>0.17100000000000001</v>
      </c>
      <c r="M149">
        <v>1</v>
      </c>
      <c r="N149">
        <v>11</v>
      </c>
      <c r="O149">
        <v>29015</v>
      </c>
      <c r="P149">
        <v>87045</v>
      </c>
      <c r="Q149">
        <v>63000</v>
      </c>
      <c r="R149">
        <v>24045</v>
      </c>
      <c r="S149">
        <v>27.6</v>
      </c>
      <c r="T149">
        <v>2.5000000000000001E-2</v>
      </c>
      <c r="U149">
        <v>2176.12</v>
      </c>
    </row>
    <row r="150" spans="1:21" x14ac:dyDescent="0.2">
      <c r="A150" t="s">
        <v>211</v>
      </c>
      <c r="B150" t="s">
        <v>30</v>
      </c>
      <c r="C150" t="s">
        <v>50</v>
      </c>
      <c r="D150" t="s">
        <v>24</v>
      </c>
      <c r="E150" t="s">
        <v>25</v>
      </c>
      <c r="F150" t="s">
        <v>73</v>
      </c>
      <c r="G150" t="s">
        <v>74</v>
      </c>
      <c r="H150" t="s">
        <v>38</v>
      </c>
      <c r="I150">
        <v>1</v>
      </c>
      <c r="J150">
        <v>22000</v>
      </c>
      <c r="K150">
        <v>13200</v>
      </c>
      <c r="L150">
        <v>0.06</v>
      </c>
      <c r="M150">
        <v>0</v>
      </c>
      <c r="N150">
        <v>37</v>
      </c>
      <c r="O150">
        <v>20680</v>
      </c>
      <c r="P150">
        <v>20680</v>
      </c>
      <c r="Q150">
        <v>13200</v>
      </c>
      <c r="R150">
        <v>7480</v>
      </c>
      <c r="S150">
        <v>36.200000000000003</v>
      </c>
      <c r="T150">
        <v>0.06</v>
      </c>
      <c r="U150">
        <v>1240.8</v>
      </c>
    </row>
    <row r="151" spans="1:21" x14ac:dyDescent="0.2">
      <c r="A151" t="s">
        <v>212</v>
      </c>
      <c r="B151" t="s">
        <v>34</v>
      </c>
      <c r="C151" t="s">
        <v>44</v>
      </c>
      <c r="D151" t="s">
        <v>31</v>
      </c>
      <c r="E151" t="s">
        <v>25</v>
      </c>
      <c r="F151" t="s">
        <v>26</v>
      </c>
      <c r="G151" t="s">
        <v>27</v>
      </c>
      <c r="H151" t="s">
        <v>70</v>
      </c>
      <c r="I151">
        <v>3</v>
      </c>
      <c r="J151">
        <v>35000</v>
      </c>
      <c r="K151">
        <v>21000</v>
      </c>
      <c r="L151">
        <v>8.9999999999999993E-3</v>
      </c>
      <c r="M151">
        <v>1</v>
      </c>
      <c r="N151">
        <v>13</v>
      </c>
      <c r="O151">
        <v>34685</v>
      </c>
      <c r="P151">
        <v>104055</v>
      </c>
      <c r="Q151">
        <v>63000</v>
      </c>
      <c r="R151">
        <v>41055</v>
      </c>
      <c r="S151">
        <v>39.5</v>
      </c>
      <c r="T151">
        <v>0.06</v>
      </c>
      <c r="U151">
        <v>6243.3</v>
      </c>
    </row>
    <row r="152" spans="1:21" x14ac:dyDescent="0.2">
      <c r="A152" t="s">
        <v>213</v>
      </c>
      <c r="B152" t="s">
        <v>34</v>
      </c>
      <c r="C152" t="s">
        <v>50</v>
      </c>
      <c r="D152" t="s">
        <v>67</v>
      </c>
      <c r="E152" t="s">
        <v>41</v>
      </c>
      <c r="F152" t="s">
        <v>36</v>
      </c>
      <c r="G152" t="s">
        <v>37</v>
      </c>
      <c r="H152" t="s">
        <v>48</v>
      </c>
      <c r="I152">
        <v>5</v>
      </c>
      <c r="J152">
        <v>8500</v>
      </c>
      <c r="K152">
        <v>5100</v>
      </c>
      <c r="L152">
        <v>0.184</v>
      </c>
      <c r="M152">
        <v>0</v>
      </c>
      <c r="N152">
        <v>36</v>
      </c>
      <c r="O152">
        <v>6936</v>
      </c>
      <c r="P152">
        <v>34680</v>
      </c>
      <c r="Q152">
        <v>25500</v>
      </c>
      <c r="R152">
        <v>9180</v>
      </c>
      <c r="S152">
        <v>26.5</v>
      </c>
      <c r="T152">
        <v>2.5000000000000001E-2</v>
      </c>
      <c r="U152">
        <v>867</v>
      </c>
    </row>
    <row r="153" spans="1:21" x14ac:dyDescent="0.2">
      <c r="A153" t="s">
        <v>214</v>
      </c>
      <c r="B153" t="s">
        <v>34</v>
      </c>
      <c r="C153" t="s">
        <v>23</v>
      </c>
      <c r="D153" t="s">
        <v>55</v>
      </c>
      <c r="E153" t="s">
        <v>41</v>
      </c>
      <c r="F153" t="s">
        <v>56</v>
      </c>
      <c r="G153" t="s">
        <v>57</v>
      </c>
      <c r="H153" t="s">
        <v>42</v>
      </c>
      <c r="I153">
        <v>4</v>
      </c>
      <c r="J153">
        <v>180000</v>
      </c>
      <c r="K153">
        <v>108000</v>
      </c>
      <c r="L153">
        <v>0.08</v>
      </c>
      <c r="M153">
        <v>1</v>
      </c>
      <c r="N153">
        <v>28</v>
      </c>
      <c r="O153">
        <v>165600</v>
      </c>
      <c r="P153">
        <v>662400</v>
      </c>
      <c r="Q153">
        <v>432000</v>
      </c>
      <c r="R153">
        <v>230400</v>
      </c>
      <c r="S153">
        <v>34.799999999999997</v>
      </c>
      <c r="T153">
        <v>2.5000000000000001E-2</v>
      </c>
      <c r="U153">
        <v>16560</v>
      </c>
    </row>
    <row r="154" spans="1:21" x14ac:dyDescent="0.2">
      <c r="A154" t="s">
        <v>215</v>
      </c>
      <c r="B154" t="s">
        <v>30</v>
      </c>
      <c r="C154" t="s">
        <v>35</v>
      </c>
      <c r="D154" t="s">
        <v>67</v>
      </c>
      <c r="E154" t="s">
        <v>41</v>
      </c>
      <c r="F154" t="s">
        <v>62</v>
      </c>
      <c r="G154" t="s">
        <v>57</v>
      </c>
      <c r="H154" t="s">
        <v>38</v>
      </c>
      <c r="I154">
        <v>10</v>
      </c>
      <c r="J154">
        <v>45000</v>
      </c>
      <c r="K154">
        <v>27000</v>
      </c>
      <c r="L154">
        <v>0.157</v>
      </c>
      <c r="M154">
        <v>1</v>
      </c>
      <c r="N154">
        <v>5</v>
      </c>
      <c r="O154">
        <v>37935</v>
      </c>
      <c r="P154">
        <v>379350</v>
      </c>
      <c r="Q154">
        <v>270000</v>
      </c>
      <c r="R154">
        <v>109350</v>
      </c>
      <c r="S154">
        <v>28.8</v>
      </c>
      <c r="T154">
        <v>2.5000000000000001E-2</v>
      </c>
      <c r="U154">
        <v>9483.75</v>
      </c>
    </row>
    <row r="155" spans="1:21" x14ac:dyDescent="0.2">
      <c r="A155" t="s">
        <v>216</v>
      </c>
      <c r="B155" t="s">
        <v>30</v>
      </c>
      <c r="C155" t="s">
        <v>23</v>
      </c>
      <c r="D155" t="s">
        <v>67</v>
      </c>
      <c r="E155" t="s">
        <v>41</v>
      </c>
      <c r="F155" t="s">
        <v>26</v>
      </c>
      <c r="G155" t="s">
        <v>27</v>
      </c>
      <c r="H155" t="s">
        <v>42</v>
      </c>
      <c r="I155">
        <v>7</v>
      </c>
      <c r="J155">
        <v>35000</v>
      </c>
      <c r="K155">
        <v>21000</v>
      </c>
      <c r="L155">
        <v>4.7E-2</v>
      </c>
      <c r="M155">
        <v>1</v>
      </c>
      <c r="N155">
        <v>31</v>
      </c>
      <c r="O155">
        <v>33355</v>
      </c>
      <c r="P155">
        <v>233485</v>
      </c>
      <c r="Q155">
        <v>147000</v>
      </c>
      <c r="R155">
        <v>86485</v>
      </c>
      <c r="S155">
        <v>37</v>
      </c>
      <c r="T155">
        <v>2.5000000000000001E-2</v>
      </c>
      <c r="U155">
        <v>5837.12</v>
      </c>
    </row>
    <row r="156" spans="1:21" x14ac:dyDescent="0.2">
      <c r="A156" t="s">
        <v>217</v>
      </c>
      <c r="B156" t="s">
        <v>54</v>
      </c>
      <c r="C156" t="s">
        <v>35</v>
      </c>
      <c r="D156" t="s">
        <v>40</v>
      </c>
      <c r="E156" t="s">
        <v>41</v>
      </c>
      <c r="F156" t="s">
        <v>36</v>
      </c>
      <c r="G156" t="s">
        <v>37</v>
      </c>
      <c r="H156" t="s">
        <v>42</v>
      </c>
      <c r="I156">
        <v>13</v>
      </c>
      <c r="J156">
        <v>8500</v>
      </c>
      <c r="K156">
        <v>5100</v>
      </c>
      <c r="L156">
        <v>0.188</v>
      </c>
      <c r="M156">
        <v>1</v>
      </c>
      <c r="N156">
        <v>35</v>
      </c>
      <c r="O156">
        <v>6902</v>
      </c>
      <c r="P156">
        <v>89726</v>
      </c>
      <c r="Q156">
        <v>66300</v>
      </c>
      <c r="R156">
        <v>23426</v>
      </c>
      <c r="S156">
        <v>26.1</v>
      </c>
      <c r="T156">
        <v>2.5000000000000001E-2</v>
      </c>
      <c r="U156">
        <v>2243.15</v>
      </c>
    </row>
    <row r="157" spans="1:21" x14ac:dyDescent="0.2">
      <c r="A157" t="s">
        <v>218</v>
      </c>
      <c r="B157" t="s">
        <v>22</v>
      </c>
      <c r="C157" t="s">
        <v>23</v>
      </c>
      <c r="D157" t="s">
        <v>40</v>
      </c>
      <c r="E157" t="s">
        <v>41</v>
      </c>
      <c r="F157" t="s">
        <v>62</v>
      </c>
      <c r="G157" t="s">
        <v>57</v>
      </c>
      <c r="H157" t="s">
        <v>48</v>
      </c>
      <c r="I157">
        <v>2</v>
      </c>
      <c r="J157">
        <v>45000</v>
      </c>
      <c r="K157">
        <v>27000</v>
      </c>
      <c r="L157">
        <v>0.17599999999999999</v>
      </c>
      <c r="M157">
        <v>1</v>
      </c>
      <c r="N157">
        <v>4</v>
      </c>
      <c r="O157">
        <v>37080</v>
      </c>
      <c r="P157">
        <v>74160</v>
      </c>
      <c r="Q157">
        <v>54000</v>
      </c>
      <c r="R157">
        <v>20160</v>
      </c>
      <c r="S157">
        <v>27.2</v>
      </c>
      <c r="T157">
        <v>2.5000000000000001E-2</v>
      </c>
      <c r="U157">
        <v>1854</v>
      </c>
    </row>
    <row r="158" spans="1:21" x14ac:dyDescent="0.2">
      <c r="A158" t="s">
        <v>219</v>
      </c>
      <c r="B158" t="s">
        <v>30</v>
      </c>
      <c r="C158" t="s">
        <v>35</v>
      </c>
      <c r="D158" t="s">
        <v>83</v>
      </c>
      <c r="E158" t="s">
        <v>25</v>
      </c>
      <c r="F158" t="s">
        <v>46</v>
      </c>
      <c r="G158" t="s">
        <v>47</v>
      </c>
      <c r="H158" t="s">
        <v>59</v>
      </c>
      <c r="I158">
        <v>7</v>
      </c>
      <c r="J158">
        <v>95000</v>
      </c>
      <c r="K158">
        <v>57000</v>
      </c>
      <c r="L158">
        <v>3.4000000000000002E-2</v>
      </c>
      <c r="M158">
        <v>1</v>
      </c>
      <c r="N158">
        <v>33</v>
      </c>
      <c r="O158">
        <v>91770</v>
      </c>
      <c r="P158">
        <v>642390</v>
      </c>
      <c r="Q158">
        <v>399000</v>
      </c>
      <c r="R158">
        <v>243390</v>
      </c>
      <c r="S158">
        <v>37.9</v>
      </c>
      <c r="T158">
        <v>0.06</v>
      </c>
      <c r="U158">
        <v>38543.4</v>
      </c>
    </row>
    <row r="159" spans="1:21" x14ac:dyDescent="0.2">
      <c r="A159" t="s">
        <v>220</v>
      </c>
      <c r="B159" t="s">
        <v>54</v>
      </c>
      <c r="C159" t="s">
        <v>23</v>
      </c>
      <c r="D159" t="s">
        <v>31</v>
      </c>
      <c r="E159" t="s">
        <v>25</v>
      </c>
      <c r="F159" t="s">
        <v>46</v>
      </c>
      <c r="G159" t="s">
        <v>47</v>
      </c>
      <c r="H159" t="s">
        <v>48</v>
      </c>
      <c r="I159">
        <v>13</v>
      </c>
      <c r="J159">
        <v>95000</v>
      </c>
      <c r="K159">
        <v>57000</v>
      </c>
      <c r="L159">
        <v>2.8000000000000001E-2</v>
      </c>
      <c r="M159">
        <v>1</v>
      </c>
      <c r="N159">
        <v>40</v>
      </c>
      <c r="O159">
        <v>92340</v>
      </c>
      <c r="P159">
        <v>1200420</v>
      </c>
      <c r="Q159">
        <v>741000</v>
      </c>
      <c r="R159">
        <v>459420</v>
      </c>
      <c r="S159">
        <v>38.299999999999997</v>
      </c>
      <c r="T159">
        <v>0.06</v>
      </c>
      <c r="U159">
        <v>72025.2</v>
      </c>
    </row>
    <row r="160" spans="1:21" x14ac:dyDescent="0.2">
      <c r="A160" t="s">
        <v>221</v>
      </c>
      <c r="B160" t="s">
        <v>30</v>
      </c>
      <c r="C160" t="s">
        <v>23</v>
      </c>
      <c r="D160" t="s">
        <v>55</v>
      </c>
      <c r="E160" t="s">
        <v>41</v>
      </c>
      <c r="F160" t="s">
        <v>26</v>
      </c>
      <c r="G160" t="s">
        <v>27</v>
      </c>
      <c r="H160" t="s">
        <v>42</v>
      </c>
      <c r="I160">
        <v>8</v>
      </c>
      <c r="J160">
        <v>35000</v>
      </c>
      <c r="K160">
        <v>21000</v>
      </c>
      <c r="L160">
        <v>0.17199999999999999</v>
      </c>
      <c r="M160">
        <v>1</v>
      </c>
      <c r="N160">
        <v>20</v>
      </c>
      <c r="O160">
        <v>28980</v>
      </c>
      <c r="P160">
        <v>231840</v>
      </c>
      <c r="Q160">
        <v>168000</v>
      </c>
      <c r="R160">
        <v>63840</v>
      </c>
      <c r="S160">
        <v>27.5</v>
      </c>
      <c r="T160">
        <v>2.5000000000000001E-2</v>
      </c>
      <c r="U160">
        <v>5796</v>
      </c>
    </row>
    <row r="161" spans="1:21" x14ac:dyDescent="0.2">
      <c r="A161" t="s">
        <v>222</v>
      </c>
      <c r="B161" t="s">
        <v>54</v>
      </c>
      <c r="C161" t="s">
        <v>50</v>
      </c>
      <c r="D161" t="s">
        <v>31</v>
      </c>
      <c r="E161" t="s">
        <v>25</v>
      </c>
      <c r="F161" t="s">
        <v>36</v>
      </c>
      <c r="G161" t="s">
        <v>37</v>
      </c>
      <c r="H161" t="s">
        <v>48</v>
      </c>
      <c r="I161">
        <v>14</v>
      </c>
      <c r="J161">
        <v>8500</v>
      </c>
      <c r="K161">
        <v>5100</v>
      </c>
      <c r="L161">
        <v>5.1999999999999998E-2</v>
      </c>
      <c r="M161">
        <v>1</v>
      </c>
      <c r="N161">
        <v>9</v>
      </c>
      <c r="O161">
        <v>8058</v>
      </c>
      <c r="P161">
        <v>112812</v>
      </c>
      <c r="Q161">
        <v>71400</v>
      </c>
      <c r="R161">
        <v>41412</v>
      </c>
      <c r="S161">
        <v>36.700000000000003</v>
      </c>
      <c r="T161">
        <v>0.06</v>
      </c>
      <c r="U161">
        <v>6768.72</v>
      </c>
    </row>
    <row r="162" spans="1:21" x14ac:dyDescent="0.2">
      <c r="A162" t="s">
        <v>223</v>
      </c>
      <c r="B162" t="s">
        <v>54</v>
      </c>
      <c r="C162" t="s">
        <v>81</v>
      </c>
      <c r="D162" t="s">
        <v>31</v>
      </c>
      <c r="E162" t="s">
        <v>25</v>
      </c>
      <c r="F162" t="s">
        <v>62</v>
      </c>
      <c r="G162" t="s">
        <v>57</v>
      </c>
      <c r="H162" t="s">
        <v>70</v>
      </c>
      <c r="I162">
        <v>6</v>
      </c>
      <c r="J162">
        <v>45000</v>
      </c>
      <c r="K162">
        <v>27000</v>
      </c>
      <c r="L162">
        <v>2.5999999999999999E-2</v>
      </c>
      <c r="M162">
        <v>1</v>
      </c>
      <c r="N162">
        <v>33</v>
      </c>
      <c r="O162">
        <v>43830</v>
      </c>
      <c r="P162">
        <v>262980</v>
      </c>
      <c r="Q162">
        <v>162000</v>
      </c>
      <c r="R162">
        <v>100980</v>
      </c>
      <c r="S162">
        <v>38.4</v>
      </c>
      <c r="T162">
        <v>0.06</v>
      </c>
      <c r="U162">
        <v>15778.8</v>
      </c>
    </row>
    <row r="163" spans="1:21" x14ac:dyDescent="0.2">
      <c r="A163" t="s">
        <v>224</v>
      </c>
      <c r="B163" t="s">
        <v>22</v>
      </c>
      <c r="C163" t="s">
        <v>35</v>
      </c>
      <c r="D163" t="s">
        <v>31</v>
      </c>
      <c r="E163" t="s">
        <v>25</v>
      </c>
      <c r="F163" t="s">
        <v>56</v>
      </c>
      <c r="G163" t="s">
        <v>57</v>
      </c>
      <c r="H163" t="s">
        <v>52</v>
      </c>
      <c r="I163">
        <v>5</v>
      </c>
      <c r="J163">
        <v>180000</v>
      </c>
      <c r="K163">
        <v>108000</v>
      </c>
      <c r="L163">
        <v>2.9000000000000001E-2</v>
      </c>
      <c r="M163">
        <v>1</v>
      </c>
      <c r="N163">
        <v>11</v>
      </c>
      <c r="O163">
        <v>174780</v>
      </c>
      <c r="P163">
        <v>873900</v>
      </c>
      <c r="Q163">
        <v>540000</v>
      </c>
      <c r="R163">
        <v>333900</v>
      </c>
      <c r="S163">
        <v>38.200000000000003</v>
      </c>
      <c r="T163">
        <v>0.06</v>
      </c>
      <c r="U163">
        <v>52434</v>
      </c>
    </row>
    <row r="164" spans="1:21" x14ac:dyDescent="0.2">
      <c r="A164" t="s">
        <v>225</v>
      </c>
      <c r="B164" t="s">
        <v>30</v>
      </c>
      <c r="C164" t="s">
        <v>23</v>
      </c>
      <c r="D164" t="s">
        <v>55</v>
      </c>
      <c r="E164" t="s">
        <v>41</v>
      </c>
      <c r="F164" t="s">
        <v>46</v>
      </c>
      <c r="G164" t="s">
        <v>47</v>
      </c>
      <c r="H164" t="s">
        <v>48</v>
      </c>
      <c r="I164">
        <v>10</v>
      </c>
      <c r="J164">
        <v>95000</v>
      </c>
      <c r="K164">
        <v>57000</v>
      </c>
      <c r="L164">
        <v>0.15</v>
      </c>
      <c r="M164">
        <v>0</v>
      </c>
      <c r="N164">
        <v>31</v>
      </c>
      <c r="O164">
        <v>80750</v>
      </c>
      <c r="P164">
        <v>807500</v>
      </c>
      <c r="Q164">
        <v>570000</v>
      </c>
      <c r="R164">
        <v>237500</v>
      </c>
      <c r="S164">
        <v>29.4</v>
      </c>
      <c r="T164">
        <v>2.5000000000000001E-2</v>
      </c>
      <c r="U164">
        <v>20187.5</v>
      </c>
    </row>
    <row r="165" spans="1:21" x14ac:dyDescent="0.2">
      <c r="A165" t="s">
        <v>226</v>
      </c>
      <c r="B165" t="s">
        <v>34</v>
      </c>
      <c r="C165" t="s">
        <v>50</v>
      </c>
      <c r="D165" t="s">
        <v>45</v>
      </c>
      <c r="E165" t="s">
        <v>25</v>
      </c>
      <c r="F165" t="s">
        <v>36</v>
      </c>
      <c r="G165" t="s">
        <v>37</v>
      </c>
      <c r="H165" t="s">
        <v>38</v>
      </c>
      <c r="I165">
        <v>5</v>
      </c>
      <c r="J165">
        <v>8500</v>
      </c>
      <c r="K165">
        <v>5100</v>
      </c>
      <c r="L165">
        <v>2.7E-2</v>
      </c>
      <c r="M165">
        <v>1</v>
      </c>
      <c r="N165">
        <v>40</v>
      </c>
      <c r="O165">
        <v>8270.5</v>
      </c>
      <c r="P165">
        <v>41352.5</v>
      </c>
      <c r="Q165">
        <v>25500</v>
      </c>
      <c r="R165">
        <v>15852.5</v>
      </c>
      <c r="S165">
        <v>38.299999999999997</v>
      </c>
      <c r="T165">
        <v>0.06</v>
      </c>
      <c r="U165">
        <v>2481.15</v>
      </c>
    </row>
    <row r="166" spans="1:21" x14ac:dyDescent="0.2">
      <c r="A166" t="s">
        <v>227</v>
      </c>
      <c r="B166" t="s">
        <v>30</v>
      </c>
      <c r="C166" t="s">
        <v>23</v>
      </c>
      <c r="D166" t="s">
        <v>67</v>
      </c>
      <c r="E166" t="s">
        <v>41</v>
      </c>
      <c r="F166" t="s">
        <v>86</v>
      </c>
      <c r="G166" t="s">
        <v>87</v>
      </c>
      <c r="H166" t="s">
        <v>38</v>
      </c>
      <c r="I166">
        <v>6</v>
      </c>
      <c r="J166">
        <v>28000</v>
      </c>
      <c r="K166">
        <v>16800</v>
      </c>
      <c r="L166">
        <v>0.18099999999999999</v>
      </c>
      <c r="M166">
        <v>1</v>
      </c>
      <c r="N166">
        <v>40</v>
      </c>
      <c r="O166">
        <v>22932</v>
      </c>
      <c r="P166">
        <v>137592</v>
      </c>
      <c r="Q166">
        <v>100800</v>
      </c>
      <c r="R166">
        <v>36792</v>
      </c>
      <c r="S166">
        <v>26.7</v>
      </c>
      <c r="T166">
        <v>2.5000000000000001E-2</v>
      </c>
      <c r="U166">
        <v>3439.8</v>
      </c>
    </row>
    <row r="167" spans="1:21" x14ac:dyDescent="0.2">
      <c r="A167" t="s">
        <v>228</v>
      </c>
      <c r="B167" t="s">
        <v>54</v>
      </c>
      <c r="C167" t="s">
        <v>44</v>
      </c>
      <c r="D167" t="s">
        <v>31</v>
      </c>
      <c r="E167" t="s">
        <v>25</v>
      </c>
      <c r="F167" t="s">
        <v>62</v>
      </c>
      <c r="G167" t="s">
        <v>57</v>
      </c>
      <c r="H167" t="s">
        <v>42</v>
      </c>
      <c r="I167">
        <v>12</v>
      </c>
      <c r="J167">
        <v>45000</v>
      </c>
      <c r="K167">
        <v>27000</v>
      </c>
      <c r="L167">
        <v>3.6999999999999998E-2</v>
      </c>
      <c r="M167">
        <v>1</v>
      </c>
      <c r="N167">
        <v>29</v>
      </c>
      <c r="O167">
        <v>43335</v>
      </c>
      <c r="P167">
        <v>520020</v>
      </c>
      <c r="Q167">
        <v>324000</v>
      </c>
      <c r="R167">
        <v>196020</v>
      </c>
      <c r="S167">
        <v>37.700000000000003</v>
      </c>
      <c r="T167">
        <v>0.06</v>
      </c>
      <c r="U167">
        <v>31201.200000000001</v>
      </c>
    </row>
    <row r="168" spans="1:21" x14ac:dyDescent="0.2">
      <c r="A168" t="s">
        <v>229</v>
      </c>
      <c r="B168" t="s">
        <v>54</v>
      </c>
      <c r="C168" t="s">
        <v>50</v>
      </c>
      <c r="D168" t="s">
        <v>67</v>
      </c>
      <c r="E168" t="s">
        <v>41</v>
      </c>
      <c r="F168" t="s">
        <v>86</v>
      </c>
      <c r="G168" t="s">
        <v>87</v>
      </c>
      <c r="H168" t="s">
        <v>52</v>
      </c>
      <c r="I168">
        <v>8</v>
      </c>
      <c r="J168">
        <v>28000</v>
      </c>
      <c r="K168">
        <v>16800</v>
      </c>
      <c r="L168">
        <v>5.8000000000000003E-2</v>
      </c>
      <c r="M168">
        <v>1</v>
      </c>
      <c r="N168">
        <v>10</v>
      </c>
      <c r="O168">
        <v>26376</v>
      </c>
      <c r="P168">
        <v>211008</v>
      </c>
      <c r="Q168">
        <v>134400</v>
      </c>
      <c r="R168">
        <v>76608</v>
      </c>
      <c r="S168">
        <v>36.299999999999997</v>
      </c>
      <c r="T168">
        <v>2.5000000000000001E-2</v>
      </c>
      <c r="U168">
        <v>5275.2</v>
      </c>
    </row>
    <row r="169" spans="1:21" x14ac:dyDescent="0.2">
      <c r="A169" t="s">
        <v>230</v>
      </c>
      <c r="B169" t="s">
        <v>54</v>
      </c>
      <c r="C169" t="s">
        <v>50</v>
      </c>
      <c r="D169" t="s">
        <v>67</v>
      </c>
      <c r="E169" t="s">
        <v>41</v>
      </c>
      <c r="F169" t="s">
        <v>51</v>
      </c>
      <c r="G169" t="s">
        <v>37</v>
      </c>
      <c r="H169" t="s">
        <v>52</v>
      </c>
      <c r="I169">
        <v>3</v>
      </c>
      <c r="J169">
        <v>32000</v>
      </c>
      <c r="K169">
        <v>19200</v>
      </c>
      <c r="L169">
        <v>0.16600000000000001</v>
      </c>
      <c r="M169">
        <v>1</v>
      </c>
      <c r="N169">
        <v>31</v>
      </c>
      <c r="O169">
        <v>26688</v>
      </c>
      <c r="P169">
        <v>80064</v>
      </c>
      <c r="Q169">
        <v>57600</v>
      </c>
      <c r="R169">
        <v>22464</v>
      </c>
      <c r="S169">
        <v>28.1</v>
      </c>
      <c r="T169">
        <v>2.5000000000000001E-2</v>
      </c>
      <c r="U169">
        <v>2001.6</v>
      </c>
    </row>
    <row r="170" spans="1:21" x14ac:dyDescent="0.2">
      <c r="A170" t="s">
        <v>231</v>
      </c>
      <c r="B170" t="s">
        <v>30</v>
      </c>
      <c r="C170" t="s">
        <v>35</v>
      </c>
      <c r="D170" t="s">
        <v>24</v>
      </c>
      <c r="E170" t="s">
        <v>25</v>
      </c>
      <c r="F170" t="s">
        <v>56</v>
      </c>
      <c r="G170" t="s">
        <v>57</v>
      </c>
      <c r="H170" t="s">
        <v>70</v>
      </c>
      <c r="I170">
        <v>7</v>
      </c>
      <c r="J170">
        <v>180000</v>
      </c>
      <c r="K170">
        <v>108000</v>
      </c>
      <c r="L170">
        <v>7.0000000000000001E-3</v>
      </c>
      <c r="M170">
        <v>1</v>
      </c>
      <c r="N170">
        <v>7</v>
      </c>
      <c r="O170">
        <v>178740</v>
      </c>
      <c r="P170">
        <v>1251180</v>
      </c>
      <c r="Q170">
        <v>756000</v>
      </c>
      <c r="R170">
        <v>495180</v>
      </c>
      <c r="S170">
        <v>39.6</v>
      </c>
      <c r="T170">
        <v>0.06</v>
      </c>
      <c r="U170">
        <v>75070.8</v>
      </c>
    </row>
    <row r="171" spans="1:21" x14ac:dyDescent="0.2">
      <c r="A171" t="s">
        <v>232</v>
      </c>
      <c r="B171" t="s">
        <v>34</v>
      </c>
      <c r="C171" t="s">
        <v>35</v>
      </c>
      <c r="D171" t="s">
        <v>40</v>
      </c>
      <c r="E171" t="s">
        <v>41</v>
      </c>
      <c r="F171" t="s">
        <v>36</v>
      </c>
      <c r="G171" t="s">
        <v>37</v>
      </c>
      <c r="H171" t="s">
        <v>52</v>
      </c>
      <c r="I171">
        <v>13</v>
      </c>
      <c r="J171">
        <v>8500</v>
      </c>
      <c r="K171">
        <v>5100</v>
      </c>
      <c r="L171">
        <v>4.3999999999999997E-2</v>
      </c>
      <c r="M171">
        <v>0</v>
      </c>
      <c r="N171">
        <v>9</v>
      </c>
      <c r="O171">
        <v>8126</v>
      </c>
      <c r="P171">
        <v>105638</v>
      </c>
      <c r="Q171">
        <v>66300</v>
      </c>
      <c r="R171">
        <v>39338</v>
      </c>
      <c r="S171">
        <v>37.200000000000003</v>
      </c>
      <c r="T171">
        <v>2.5000000000000001E-2</v>
      </c>
      <c r="U171">
        <v>2640.95</v>
      </c>
    </row>
    <row r="172" spans="1:21" x14ac:dyDescent="0.2">
      <c r="A172" t="s">
        <v>233</v>
      </c>
      <c r="B172" t="s">
        <v>30</v>
      </c>
      <c r="C172" t="s">
        <v>35</v>
      </c>
      <c r="D172" t="s">
        <v>45</v>
      </c>
      <c r="E172" t="s">
        <v>25</v>
      </c>
      <c r="F172" t="s">
        <v>86</v>
      </c>
      <c r="G172" t="s">
        <v>87</v>
      </c>
      <c r="H172" t="s">
        <v>42</v>
      </c>
      <c r="I172">
        <v>11</v>
      </c>
      <c r="J172">
        <v>28000</v>
      </c>
      <c r="K172">
        <v>16800</v>
      </c>
      <c r="L172">
        <v>6.6000000000000003E-2</v>
      </c>
      <c r="M172">
        <v>1</v>
      </c>
      <c r="N172">
        <v>35</v>
      </c>
      <c r="O172">
        <v>26152</v>
      </c>
      <c r="P172">
        <v>287672</v>
      </c>
      <c r="Q172">
        <v>184800</v>
      </c>
      <c r="R172">
        <v>102872</v>
      </c>
      <c r="S172">
        <v>35.799999999999997</v>
      </c>
      <c r="T172">
        <v>0.06</v>
      </c>
      <c r="U172">
        <v>17260.32</v>
      </c>
    </row>
    <row r="173" spans="1:21" x14ac:dyDescent="0.2">
      <c r="A173" t="s">
        <v>234</v>
      </c>
      <c r="B173" t="s">
        <v>22</v>
      </c>
      <c r="C173" t="s">
        <v>50</v>
      </c>
      <c r="D173" t="s">
        <v>45</v>
      </c>
      <c r="E173" t="s">
        <v>25</v>
      </c>
      <c r="F173" t="s">
        <v>62</v>
      </c>
      <c r="G173" t="s">
        <v>57</v>
      </c>
      <c r="H173" t="s">
        <v>28</v>
      </c>
      <c r="I173">
        <v>5</v>
      </c>
      <c r="J173">
        <v>45000</v>
      </c>
      <c r="K173">
        <v>27000</v>
      </c>
      <c r="L173">
        <v>2.1000000000000001E-2</v>
      </c>
      <c r="M173">
        <v>1</v>
      </c>
      <c r="N173">
        <v>29</v>
      </c>
      <c r="O173">
        <v>44055</v>
      </c>
      <c r="P173">
        <v>220275</v>
      </c>
      <c r="Q173">
        <v>135000</v>
      </c>
      <c r="R173">
        <v>85275</v>
      </c>
      <c r="S173">
        <v>38.700000000000003</v>
      </c>
      <c r="T173">
        <v>0.06</v>
      </c>
      <c r="U173">
        <v>13216.5</v>
      </c>
    </row>
    <row r="174" spans="1:21" x14ac:dyDescent="0.2">
      <c r="A174" t="s">
        <v>235</v>
      </c>
      <c r="B174" t="s">
        <v>30</v>
      </c>
      <c r="C174" t="s">
        <v>35</v>
      </c>
      <c r="D174" t="s">
        <v>45</v>
      </c>
      <c r="E174" t="s">
        <v>25</v>
      </c>
      <c r="F174" t="s">
        <v>26</v>
      </c>
      <c r="G174" t="s">
        <v>27</v>
      </c>
      <c r="H174" t="s">
        <v>75</v>
      </c>
      <c r="I174">
        <v>5</v>
      </c>
      <c r="J174">
        <v>35000</v>
      </c>
      <c r="K174">
        <v>21000</v>
      </c>
      <c r="L174">
        <v>6.3E-2</v>
      </c>
      <c r="M174">
        <v>1</v>
      </c>
      <c r="N174">
        <v>26</v>
      </c>
      <c r="O174">
        <v>32795</v>
      </c>
      <c r="P174">
        <v>163975</v>
      </c>
      <c r="Q174">
        <v>105000</v>
      </c>
      <c r="R174">
        <v>58975</v>
      </c>
      <c r="S174">
        <v>36</v>
      </c>
      <c r="T174">
        <v>0.06</v>
      </c>
      <c r="U174">
        <v>9838.5</v>
      </c>
    </row>
    <row r="175" spans="1:21" x14ac:dyDescent="0.2">
      <c r="A175" t="s">
        <v>236</v>
      </c>
      <c r="B175" t="s">
        <v>22</v>
      </c>
      <c r="C175" t="s">
        <v>23</v>
      </c>
      <c r="D175" t="s">
        <v>40</v>
      </c>
      <c r="E175" t="s">
        <v>41</v>
      </c>
      <c r="F175" t="s">
        <v>36</v>
      </c>
      <c r="G175" t="s">
        <v>37</v>
      </c>
      <c r="H175" t="s">
        <v>38</v>
      </c>
      <c r="I175">
        <v>6</v>
      </c>
      <c r="J175">
        <v>8500</v>
      </c>
      <c r="K175">
        <v>5100</v>
      </c>
      <c r="L175">
        <v>1.9E-2</v>
      </c>
      <c r="M175">
        <v>1</v>
      </c>
      <c r="N175">
        <v>7</v>
      </c>
      <c r="O175">
        <v>8338.5</v>
      </c>
      <c r="P175">
        <v>50031</v>
      </c>
      <c r="Q175">
        <v>30600</v>
      </c>
      <c r="R175">
        <v>19431</v>
      </c>
      <c r="S175">
        <v>38.799999999999997</v>
      </c>
      <c r="T175">
        <v>2.5000000000000001E-2</v>
      </c>
      <c r="U175">
        <v>1250.78</v>
      </c>
    </row>
    <row r="176" spans="1:21" x14ac:dyDescent="0.2">
      <c r="A176" t="s">
        <v>237</v>
      </c>
      <c r="B176" t="s">
        <v>30</v>
      </c>
      <c r="C176" t="s">
        <v>44</v>
      </c>
      <c r="D176" t="s">
        <v>83</v>
      </c>
      <c r="E176" t="s">
        <v>25</v>
      </c>
      <c r="F176" t="s">
        <v>26</v>
      </c>
      <c r="G176" t="s">
        <v>27</v>
      </c>
      <c r="H176" t="s">
        <v>28</v>
      </c>
      <c r="I176">
        <v>8</v>
      </c>
      <c r="J176">
        <v>35000</v>
      </c>
      <c r="K176">
        <v>21000</v>
      </c>
      <c r="L176">
        <v>8.7999999999999995E-2</v>
      </c>
      <c r="M176">
        <v>0</v>
      </c>
      <c r="N176">
        <v>40</v>
      </c>
      <c r="O176">
        <v>31920</v>
      </c>
      <c r="P176">
        <v>255360</v>
      </c>
      <c r="Q176">
        <v>168000</v>
      </c>
      <c r="R176">
        <v>87360</v>
      </c>
      <c r="S176">
        <v>34.200000000000003</v>
      </c>
      <c r="T176">
        <v>0.06</v>
      </c>
      <c r="U176">
        <v>15321.6</v>
      </c>
    </row>
    <row r="177" spans="1:21" x14ac:dyDescent="0.2">
      <c r="A177" t="s">
        <v>238</v>
      </c>
      <c r="B177" t="s">
        <v>34</v>
      </c>
      <c r="C177" t="s">
        <v>44</v>
      </c>
      <c r="D177" t="s">
        <v>67</v>
      </c>
      <c r="E177" t="s">
        <v>41</v>
      </c>
      <c r="F177" t="s">
        <v>56</v>
      </c>
      <c r="G177" t="s">
        <v>57</v>
      </c>
      <c r="H177" t="s">
        <v>38</v>
      </c>
      <c r="I177">
        <v>10</v>
      </c>
      <c r="J177">
        <v>180000</v>
      </c>
      <c r="K177">
        <v>108000</v>
      </c>
      <c r="L177">
        <v>0.16</v>
      </c>
      <c r="M177">
        <v>1</v>
      </c>
      <c r="N177">
        <v>6</v>
      </c>
      <c r="O177">
        <v>151200</v>
      </c>
      <c r="P177">
        <v>1512000</v>
      </c>
      <c r="Q177">
        <v>1080000</v>
      </c>
      <c r="R177">
        <v>432000</v>
      </c>
      <c r="S177">
        <v>28.6</v>
      </c>
      <c r="T177">
        <v>2.5000000000000001E-2</v>
      </c>
      <c r="U177">
        <v>37800</v>
      </c>
    </row>
    <row r="178" spans="1:21" x14ac:dyDescent="0.2">
      <c r="A178" t="s">
        <v>239</v>
      </c>
      <c r="B178" t="s">
        <v>30</v>
      </c>
      <c r="C178" t="s">
        <v>23</v>
      </c>
      <c r="D178" t="s">
        <v>55</v>
      </c>
      <c r="E178" t="s">
        <v>41</v>
      </c>
      <c r="F178" t="s">
        <v>26</v>
      </c>
      <c r="G178" t="s">
        <v>27</v>
      </c>
      <c r="H178" t="s">
        <v>48</v>
      </c>
      <c r="I178">
        <v>9</v>
      </c>
      <c r="J178">
        <v>35000</v>
      </c>
      <c r="K178">
        <v>21000</v>
      </c>
      <c r="L178">
        <v>0.17100000000000001</v>
      </c>
      <c r="M178">
        <v>0</v>
      </c>
      <c r="N178">
        <v>37</v>
      </c>
      <c r="O178">
        <v>29015</v>
      </c>
      <c r="P178">
        <v>261135</v>
      </c>
      <c r="Q178">
        <v>189000</v>
      </c>
      <c r="R178">
        <v>72135</v>
      </c>
      <c r="S178">
        <v>27.6</v>
      </c>
      <c r="T178">
        <v>2.5000000000000001E-2</v>
      </c>
      <c r="U178">
        <v>6528.38</v>
      </c>
    </row>
    <row r="179" spans="1:21" x14ac:dyDescent="0.2">
      <c r="A179" t="s">
        <v>240</v>
      </c>
      <c r="B179" t="s">
        <v>54</v>
      </c>
      <c r="C179" t="s">
        <v>23</v>
      </c>
      <c r="D179" t="s">
        <v>67</v>
      </c>
      <c r="E179" t="s">
        <v>41</v>
      </c>
      <c r="F179" t="s">
        <v>62</v>
      </c>
      <c r="G179" t="s">
        <v>57</v>
      </c>
      <c r="H179" t="s">
        <v>48</v>
      </c>
      <c r="I179">
        <v>8</v>
      </c>
      <c r="J179">
        <v>45000</v>
      </c>
      <c r="K179">
        <v>27000</v>
      </c>
      <c r="L179">
        <v>8.6999999999999994E-2</v>
      </c>
      <c r="M179">
        <v>1</v>
      </c>
      <c r="N179">
        <v>30</v>
      </c>
      <c r="O179">
        <v>41085</v>
      </c>
      <c r="P179">
        <v>328680</v>
      </c>
      <c r="Q179">
        <v>216000</v>
      </c>
      <c r="R179">
        <v>112680</v>
      </c>
      <c r="S179">
        <v>34.299999999999997</v>
      </c>
      <c r="T179">
        <v>2.5000000000000001E-2</v>
      </c>
      <c r="U179">
        <v>8217</v>
      </c>
    </row>
    <row r="180" spans="1:21" x14ac:dyDescent="0.2">
      <c r="A180" t="s">
        <v>241</v>
      </c>
      <c r="B180" t="s">
        <v>34</v>
      </c>
      <c r="C180" t="s">
        <v>35</v>
      </c>
      <c r="D180" t="s">
        <v>40</v>
      </c>
      <c r="E180" t="s">
        <v>41</v>
      </c>
      <c r="F180" t="s">
        <v>86</v>
      </c>
      <c r="G180" t="s">
        <v>87</v>
      </c>
      <c r="H180" t="s">
        <v>52</v>
      </c>
      <c r="I180">
        <v>7</v>
      </c>
      <c r="J180">
        <v>28000</v>
      </c>
      <c r="K180">
        <v>16800</v>
      </c>
      <c r="L180">
        <v>0.21</v>
      </c>
      <c r="M180">
        <v>1</v>
      </c>
      <c r="N180">
        <v>14</v>
      </c>
      <c r="O180">
        <v>22120</v>
      </c>
      <c r="P180">
        <v>154840</v>
      </c>
      <c r="Q180">
        <v>117600</v>
      </c>
      <c r="R180">
        <v>37240</v>
      </c>
      <c r="S180">
        <v>24.1</v>
      </c>
      <c r="T180">
        <v>2.5000000000000001E-2</v>
      </c>
      <c r="U180">
        <v>3871</v>
      </c>
    </row>
    <row r="181" spans="1:21" x14ac:dyDescent="0.2">
      <c r="A181" t="s">
        <v>242</v>
      </c>
      <c r="B181" t="s">
        <v>34</v>
      </c>
      <c r="C181" t="s">
        <v>44</v>
      </c>
      <c r="D181" t="s">
        <v>67</v>
      </c>
      <c r="E181" t="s">
        <v>41</v>
      </c>
      <c r="F181" t="s">
        <v>62</v>
      </c>
      <c r="G181" t="s">
        <v>57</v>
      </c>
      <c r="H181" t="s">
        <v>64</v>
      </c>
      <c r="I181">
        <v>2</v>
      </c>
      <c r="J181">
        <v>45000</v>
      </c>
      <c r="K181">
        <v>27000</v>
      </c>
      <c r="L181">
        <v>0.161</v>
      </c>
      <c r="M181">
        <v>1</v>
      </c>
      <c r="N181">
        <v>35</v>
      </c>
      <c r="O181">
        <v>37755</v>
      </c>
      <c r="P181">
        <v>75510</v>
      </c>
      <c r="Q181">
        <v>54000</v>
      </c>
      <c r="R181">
        <v>21510</v>
      </c>
      <c r="S181">
        <v>28.5</v>
      </c>
      <c r="T181">
        <v>2.5000000000000001E-2</v>
      </c>
      <c r="U181">
        <v>1887.75</v>
      </c>
    </row>
    <row r="182" spans="1:21" x14ac:dyDescent="0.2">
      <c r="A182" t="s">
        <v>243</v>
      </c>
      <c r="B182" t="s">
        <v>30</v>
      </c>
      <c r="C182" t="s">
        <v>44</v>
      </c>
      <c r="D182" t="s">
        <v>55</v>
      </c>
      <c r="E182" t="s">
        <v>41</v>
      </c>
      <c r="F182" t="s">
        <v>73</v>
      </c>
      <c r="G182" t="s">
        <v>74</v>
      </c>
      <c r="H182" t="s">
        <v>70</v>
      </c>
      <c r="I182">
        <v>7</v>
      </c>
      <c r="J182">
        <v>22000</v>
      </c>
      <c r="K182">
        <v>13200</v>
      </c>
      <c r="L182">
        <v>0.14000000000000001</v>
      </c>
      <c r="M182">
        <v>0</v>
      </c>
      <c r="N182">
        <v>6</v>
      </c>
      <c r="O182">
        <v>18920</v>
      </c>
      <c r="P182">
        <v>132440</v>
      </c>
      <c r="Q182">
        <v>92400</v>
      </c>
      <c r="R182">
        <v>40040</v>
      </c>
      <c r="S182">
        <v>30.2</v>
      </c>
      <c r="T182">
        <v>2.5000000000000001E-2</v>
      </c>
      <c r="U182">
        <v>3311</v>
      </c>
    </row>
    <row r="183" spans="1:21" x14ac:dyDescent="0.2">
      <c r="A183" t="s">
        <v>244</v>
      </c>
      <c r="B183" t="s">
        <v>30</v>
      </c>
      <c r="C183" t="s">
        <v>50</v>
      </c>
      <c r="D183" t="s">
        <v>31</v>
      </c>
      <c r="E183" t="s">
        <v>25</v>
      </c>
      <c r="F183" t="s">
        <v>36</v>
      </c>
      <c r="G183" t="s">
        <v>37</v>
      </c>
      <c r="H183" t="s">
        <v>52</v>
      </c>
      <c r="I183">
        <v>5</v>
      </c>
      <c r="J183">
        <v>8500</v>
      </c>
      <c r="K183">
        <v>5100</v>
      </c>
      <c r="L183">
        <v>1.0999999999999999E-2</v>
      </c>
      <c r="M183">
        <v>0</v>
      </c>
      <c r="N183">
        <v>35</v>
      </c>
      <c r="O183">
        <v>8406.5</v>
      </c>
      <c r="P183">
        <v>42032.5</v>
      </c>
      <c r="Q183">
        <v>25500</v>
      </c>
      <c r="R183">
        <v>16532.5</v>
      </c>
      <c r="S183">
        <v>39.299999999999997</v>
      </c>
      <c r="T183">
        <v>0.06</v>
      </c>
      <c r="U183">
        <v>2521.9499999999998</v>
      </c>
    </row>
    <row r="184" spans="1:21" x14ac:dyDescent="0.2">
      <c r="A184" t="s">
        <v>245</v>
      </c>
      <c r="B184" t="s">
        <v>54</v>
      </c>
      <c r="C184" t="s">
        <v>23</v>
      </c>
      <c r="D184" t="s">
        <v>67</v>
      </c>
      <c r="E184" t="s">
        <v>41</v>
      </c>
      <c r="F184" t="s">
        <v>73</v>
      </c>
      <c r="G184" t="s">
        <v>74</v>
      </c>
      <c r="H184" t="s">
        <v>59</v>
      </c>
      <c r="I184">
        <v>6</v>
      </c>
      <c r="J184">
        <v>22000</v>
      </c>
      <c r="K184">
        <v>13200</v>
      </c>
      <c r="L184">
        <v>4.2999999999999997E-2</v>
      </c>
      <c r="M184">
        <v>1</v>
      </c>
      <c r="N184">
        <v>21</v>
      </c>
      <c r="O184">
        <v>21054</v>
      </c>
      <c r="P184">
        <v>126324</v>
      </c>
      <c r="Q184">
        <v>79200</v>
      </c>
      <c r="R184">
        <v>47124</v>
      </c>
      <c r="S184">
        <v>37.299999999999997</v>
      </c>
      <c r="T184">
        <v>2.5000000000000001E-2</v>
      </c>
      <c r="U184">
        <v>3158.1</v>
      </c>
    </row>
    <row r="185" spans="1:21" x14ac:dyDescent="0.2">
      <c r="A185" t="s">
        <v>246</v>
      </c>
      <c r="B185" t="s">
        <v>54</v>
      </c>
      <c r="C185" t="s">
        <v>50</v>
      </c>
      <c r="D185" t="s">
        <v>67</v>
      </c>
      <c r="E185" t="s">
        <v>41</v>
      </c>
      <c r="F185" t="s">
        <v>86</v>
      </c>
      <c r="G185" t="s">
        <v>87</v>
      </c>
      <c r="H185" t="s">
        <v>59</v>
      </c>
      <c r="I185">
        <v>14</v>
      </c>
      <c r="J185">
        <v>28000</v>
      </c>
      <c r="K185">
        <v>16800</v>
      </c>
      <c r="L185">
        <v>3.5999999999999997E-2</v>
      </c>
      <c r="M185">
        <v>1</v>
      </c>
      <c r="N185">
        <v>27</v>
      </c>
      <c r="O185">
        <v>26992</v>
      </c>
      <c r="P185">
        <v>377888</v>
      </c>
      <c r="Q185">
        <v>235200</v>
      </c>
      <c r="R185">
        <v>142688</v>
      </c>
      <c r="S185">
        <v>37.799999999999997</v>
      </c>
      <c r="T185">
        <v>2.5000000000000001E-2</v>
      </c>
      <c r="U185">
        <v>9447.2000000000007</v>
      </c>
    </row>
    <row r="186" spans="1:21" x14ac:dyDescent="0.2">
      <c r="A186" t="s">
        <v>247</v>
      </c>
      <c r="B186" t="s">
        <v>22</v>
      </c>
      <c r="C186" t="s">
        <v>44</v>
      </c>
      <c r="D186" t="s">
        <v>83</v>
      </c>
      <c r="E186" t="s">
        <v>25</v>
      </c>
      <c r="F186" t="s">
        <v>73</v>
      </c>
      <c r="G186" t="s">
        <v>74</v>
      </c>
      <c r="H186" t="s">
        <v>38</v>
      </c>
      <c r="I186">
        <v>5</v>
      </c>
      <c r="J186">
        <v>22000</v>
      </c>
      <c r="K186">
        <v>13200</v>
      </c>
      <c r="L186">
        <v>0.11899999999999999</v>
      </c>
      <c r="M186">
        <v>1</v>
      </c>
      <c r="N186">
        <v>7</v>
      </c>
      <c r="O186">
        <v>19382</v>
      </c>
      <c r="P186">
        <v>96910</v>
      </c>
      <c r="Q186">
        <v>66000</v>
      </c>
      <c r="R186">
        <v>30910</v>
      </c>
      <c r="S186">
        <v>31.9</v>
      </c>
      <c r="T186">
        <v>0.06</v>
      </c>
      <c r="U186">
        <v>5814.6</v>
      </c>
    </row>
    <row r="187" spans="1:21" x14ac:dyDescent="0.2">
      <c r="A187" t="s">
        <v>248</v>
      </c>
      <c r="B187" t="s">
        <v>22</v>
      </c>
      <c r="C187" t="s">
        <v>35</v>
      </c>
      <c r="D187" t="s">
        <v>31</v>
      </c>
      <c r="E187" t="s">
        <v>25</v>
      </c>
      <c r="F187" t="s">
        <v>46</v>
      </c>
      <c r="G187" t="s">
        <v>47</v>
      </c>
      <c r="H187" t="s">
        <v>59</v>
      </c>
      <c r="I187">
        <v>11</v>
      </c>
      <c r="J187">
        <v>95000</v>
      </c>
      <c r="K187">
        <v>57000</v>
      </c>
      <c r="L187">
        <v>1.4999999999999999E-2</v>
      </c>
      <c r="M187">
        <v>1</v>
      </c>
      <c r="N187">
        <v>20</v>
      </c>
      <c r="O187">
        <v>93575</v>
      </c>
      <c r="P187">
        <v>1029325</v>
      </c>
      <c r="Q187">
        <v>627000</v>
      </c>
      <c r="R187">
        <v>402325</v>
      </c>
      <c r="S187">
        <v>39.1</v>
      </c>
      <c r="T187">
        <v>0.06</v>
      </c>
      <c r="U187">
        <v>61759.5</v>
      </c>
    </row>
    <row r="188" spans="1:21" x14ac:dyDescent="0.2">
      <c r="A188" t="s">
        <v>249</v>
      </c>
      <c r="B188" t="s">
        <v>30</v>
      </c>
      <c r="C188" t="s">
        <v>50</v>
      </c>
      <c r="D188" t="s">
        <v>67</v>
      </c>
      <c r="E188" t="s">
        <v>41</v>
      </c>
      <c r="F188" t="s">
        <v>51</v>
      </c>
      <c r="G188" t="s">
        <v>37</v>
      </c>
      <c r="H188" t="s">
        <v>38</v>
      </c>
      <c r="I188">
        <v>8</v>
      </c>
      <c r="J188">
        <v>32000</v>
      </c>
      <c r="K188">
        <v>19200</v>
      </c>
      <c r="L188">
        <v>0.107</v>
      </c>
      <c r="M188">
        <v>1</v>
      </c>
      <c r="N188">
        <v>17</v>
      </c>
      <c r="O188">
        <v>28576</v>
      </c>
      <c r="P188">
        <v>228608</v>
      </c>
      <c r="Q188">
        <v>153600</v>
      </c>
      <c r="R188">
        <v>75008</v>
      </c>
      <c r="S188">
        <v>32.799999999999997</v>
      </c>
      <c r="T188">
        <v>2.5000000000000001E-2</v>
      </c>
      <c r="U188">
        <v>5715.2</v>
      </c>
    </row>
    <row r="189" spans="1:21" x14ac:dyDescent="0.2">
      <c r="A189" t="s">
        <v>250</v>
      </c>
      <c r="B189" t="s">
        <v>22</v>
      </c>
      <c r="C189" t="s">
        <v>50</v>
      </c>
      <c r="D189" t="s">
        <v>67</v>
      </c>
      <c r="E189" t="s">
        <v>41</v>
      </c>
      <c r="F189" t="s">
        <v>26</v>
      </c>
      <c r="G189" t="s">
        <v>27</v>
      </c>
      <c r="H189" t="s">
        <v>48</v>
      </c>
      <c r="I189">
        <v>10</v>
      </c>
      <c r="J189">
        <v>35000</v>
      </c>
      <c r="K189">
        <v>21000</v>
      </c>
      <c r="L189">
        <v>8.3000000000000004E-2</v>
      </c>
      <c r="M189">
        <v>1</v>
      </c>
      <c r="N189">
        <v>6</v>
      </c>
      <c r="O189">
        <v>32095</v>
      </c>
      <c r="P189">
        <v>320950</v>
      </c>
      <c r="Q189">
        <v>210000</v>
      </c>
      <c r="R189">
        <v>110950</v>
      </c>
      <c r="S189">
        <v>34.6</v>
      </c>
      <c r="T189">
        <v>2.5000000000000001E-2</v>
      </c>
      <c r="U189">
        <v>8023.75</v>
      </c>
    </row>
    <row r="190" spans="1:21" x14ac:dyDescent="0.2">
      <c r="A190" t="s">
        <v>251</v>
      </c>
      <c r="B190" t="s">
        <v>22</v>
      </c>
      <c r="C190" t="s">
        <v>23</v>
      </c>
      <c r="D190" t="s">
        <v>31</v>
      </c>
      <c r="E190" t="s">
        <v>25</v>
      </c>
      <c r="F190" t="s">
        <v>62</v>
      </c>
      <c r="G190" t="s">
        <v>57</v>
      </c>
      <c r="H190" t="s">
        <v>28</v>
      </c>
      <c r="I190">
        <v>2</v>
      </c>
      <c r="J190">
        <v>45000</v>
      </c>
      <c r="K190">
        <v>27000</v>
      </c>
      <c r="L190">
        <v>4.7E-2</v>
      </c>
      <c r="M190">
        <v>1</v>
      </c>
      <c r="N190">
        <v>35</v>
      </c>
      <c r="O190">
        <v>42885</v>
      </c>
      <c r="P190">
        <v>85770</v>
      </c>
      <c r="Q190">
        <v>54000</v>
      </c>
      <c r="R190">
        <v>31770</v>
      </c>
      <c r="S190">
        <v>37</v>
      </c>
      <c r="T190">
        <v>0.06</v>
      </c>
      <c r="U190">
        <v>5146.2</v>
      </c>
    </row>
    <row r="191" spans="1:21" x14ac:dyDescent="0.2">
      <c r="A191" t="s">
        <v>252</v>
      </c>
      <c r="B191" t="s">
        <v>54</v>
      </c>
      <c r="C191" t="s">
        <v>50</v>
      </c>
      <c r="D191" t="s">
        <v>67</v>
      </c>
      <c r="E191" t="s">
        <v>41</v>
      </c>
      <c r="F191" t="s">
        <v>73</v>
      </c>
      <c r="G191" t="s">
        <v>74</v>
      </c>
      <c r="H191" t="s">
        <v>32</v>
      </c>
      <c r="I191">
        <v>2</v>
      </c>
      <c r="J191">
        <v>22000</v>
      </c>
      <c r="K191">
        <v>13200</v>
      </c>
      <c r="L191">
        <v>0.15</v>
      </c>
      <c r="M191">
        <v>0</v>
      </c>
      <c r="N191">
        <v>27</v>
      </c>
      <c r="O191">
        <v>18700</v>
      </c>
      <c r="P191">
        <v>37400</v>
      </c>
      <c r="Q191">
        <v>26400</v>
      </c>
      <c r="R191">
        <v>11000</v>
      </c>
      <c r="S191">
        <v>29.4</v>
      </c>
      <c r="T191">
        <v>2.5000000000000001E-2</v>
      </c>
      <c r="U191">
        <v>935</v>
      </c>
    </row>
    <row r="192" spans="1:21" x14ac:dyDescent="0.2">
      <c r="A192" t="s">
        <v>253</v>
      </c>
      <c r="B192" t="s">
        <v>22</v>
      </c>
      <c r="C192" t="s">
        <v>35</v>
      </c>
      <c r="D192" t="s">
        <v>24</v>
      </c>
      <c r="E192" t="s">
        <v>25</v>
      </c>
      <c r="F192" t="s">
        <v>62</v>
      </c>
      <c r="G192" t="s">
        <v>57</v>
      </c>
      <c r="H192" t="s">
        <v>38</v>
      </c>
      <c r="I192">
        <v>9</v>
      </c>
      <c r="J192">
        <v>45000</v>
      </c>
      <c r="K192">
        <v>27000</v>
      </c>
      <c r="L192">
        <v>5.3999999999999999E-2</v>
      </c>
      <c r="M192">
        <v>1</v>
      </c>
      <c r="N192">
        <v>26</v>
      </c>
      <c r="O192">
        <v>42570</v>
      </c>
      <c r="P192">
        <v>383130</v>
      </c>
      <c r="Q192">
        <v>243000</v>
      </c>
      <c r="R192">
        <v>140130</v>
      </c>
      <c r="S192">
        <v>36.6</v>
      </c>
      <c r="T192">
        <v>0.06</v>
      </c>
      <c r="U192">
        <v>22987.8</v>
      </c>
    </row>
    <row r="193" spans="1:21" x14ac:dyDescent="0.2">
      <c r="A193" t="s">
        <v>254</v>
      </c>
      <c r="B193" t="s">
        <v>30</v>
      </c>
      <c r="C193" t="s">
        <v>81</v>
      </c>
      <c r="D193" t="s">
        <v>45</v>
      </c>
      <c r="E193" t="s">
        <v>25</v>
      </c>
      <c r="F193" t="s">
        <v>26</v>
      </c>
      <c r="G193" t="s">
        <v>27</v>
      </c>
      <c r="H193" t="s">
        <v>48</v>
      </c>
      <c r="I193">
        <v>14</v>
      </c>
      <c r="J193">
        <v>35000</v>
      </c>
      <c r="K193">
        <v>21000</v>
      </c>
      <c r="L193">
        <v>5.0000000000000001E-3</v>
      </c>
      <c r="M193">
        <v>1</v>
      </c>
      <c r="N193">
        <v>11</v>
      </c>
      <c r="O193">
        <v>34825</v>
      </c>
      <c r="P193">
        <v>487550</v>
      </c>
      <c r="Q193">
        <v>294000</v>
      </c>
      <c r="R193">
        <v>193550</v>
      </c>
      <c r="S193">
        <v>39.700000000000003</v>
      </c>
      <c r="T193">
        <v>0.06</v>
      </c>
      <c r="U193">
        <v>29253</v>
      </c>
    </row>
    <row r="194" spans="1:21" x14ac:dyDescent="0.2">
      <c r="A194" t="s">
        <v>255</v>
      </c>
      <c r="B194" t="s">
        <v>34</v>
      </c>
      <c r="C194" t="s">
        <v>81</v>
      </c>
      <c r="D194" t="s">
        <v>45</v>
      </c>
      <c r="E194" t="s">
        <v>25</v>
      </c>
      <c r="F194" t="s">
        <v>62</v>
      </c>
      <c r="G194" t="s">
        <v>57</v>
      </c>
      <c r="H194" t="s">
        <v>64</v>
      </c>
      <c r="I194">
        <v>9</v>
      </c>
      <c r="J194">
        <v>45000</v>
      </c>
      <c r="K194">
        <v>27000</v>
      </c>
      <c r="L194">
        <v>7.5999999999999998E-2</v>
      </c>
      <c r="M194">
        <v>1</v>
      </c>
      <c r="N194">
        <v>12</v>
      </c>
      <c r="O194">
        <v>41580</v>
      </c>
      <c r="P194">
        <v>374220</v>
      </c>
      <c r="Q194">
        <v>243000</v>
      </c>
      <c r="R194">
        <v>131220</v>
      </c>
      <c r="S194">
        <v>35.1</v>
      </c>
      <c r="T194">
        <v>0.06</v>
      </c>
      <c r="U194">
        <v>22453.200000000001</v>
      </c>
    </row>
    <row r="195" spans="1:21" x14ac:dyDescent="0.2">
      <c r="A195" t="s">
        <v>256</v>
      </c>
      <c r="B195" t="s">
        <v>34</v>
      </c>
      <c r="C195" t="s">
        <v>23</v>
      </c>
      <c r="D195" t="s">
        <v>31</v>
      </c>
      <c r="E195" t="s">
        <v>25</v>
      </c>
      <c r="F195" t="s">
        <v>36</v>
      </c>
      <c r="G195" t="s">
        <v>37</v>
      </c>
      <c r="H195" t="s">
        <v>75</v>
      </c>
      <c r="I195">
        <v>7</v>
      </c>
      <c r="J195">
        <v>8500</v>
      </c>
      <c r="K195">
        <v>5100</v>
      </c>
      <c r="L195">
        <v>4.8000000000000001E-2</v>
      </c>
      <c r="M195">
        <v>1</v>
      </c>
      <c r="N195">
        <v>25</v>
      </c>
      <c r="O195">
        <v>8092</v>
      </c>
      <c r="P195">
        <v>56644</v>
      </c>
      <c r="Q195">
        <v>35700</v>
      </c>
      <c r="R195">
        <v>20944</v>
      </c>
      <c r="S195">
        <v>37</v>
      </c>
      <c r="T195">
        <v>0.06</v>
      </c>
      <c r="U195">
        <v>3398.64</v>
      </c>
    </row>
    <row r="196" spans="1:21" x14ac:dyDescent="0.2">
      <c r="A196" t="s">
        <v>257</v>
      </c>
      <c r="B196" t="s">
        <v>22</v>
      </c>
      <c r="C196" t="s">
        <v>35</v>
      </c>
      <c r="D196" t="s">
        <v>67</v>
      </c>
      <c r="E196" t="s">
        <v>41</v>
      </c>
      <c r="F196" t="s">
        <v>46</v>
      </c>
      <c r="G196" t="s">
        <v>47</v>
      </c>
      <c r="H196" t="s">
        <v>48</v>
      </c>
      <c r="I196">
        <v>14</v>
      </c>
      <c r="J196">
        <v>95000</v>
      </c>
      <c r="K196">
        <v>57000</v>
      </c>
      <c r="L196">
        <v>0.157</v>
      </c>
      <c r="M196">
        <v>1</v>
      </c>
      <c r="N196">
        <v>30</v>
      </c>
      <c r="O196">
        <v>80085</v>
      </c>
      <c r="P196">
        <v>1121190</v>
      </c>
      <c r="Q196">
        <v>798000</v>
      </c>
      <c r="R196">
        <v>323190</v>
      </c>
      <c r="S196">
        <v>28.8</v>
      </c>
      <c r="T196">
        <v>2.5000000000000001E-2</v>
      </c>
      <c r="U196">
        <v>28029.75</v>
      </c>
    </row>
    <row r="197" spans="1:21" x14ac:dyDescent="0.2">
      <c r="A197" t="s">
        <v>258</v>
      </c>
      <c r="B197" t="s">
        <v>54</v>
      </c>
      <c r="C197" t="s">
        <v>50</v>
      </c>
      <c r="D197" t="s">
        <v>67</v>
      </c>
      <c r="E197" t="s">
        <v>41</v>
      </c>
      <c r="F197" t="s">
        <v>62</v>
      </c>
      <c r="G197" t="s">
        <v>57</v>
      </c>
      <c r="H197" t="s">
        <v>28</v>
      </c>
      <c r="I197">
        <v>6</v>
      </c>
      <c r="J197">
        <v>45000</v>
      </c>
      <c r="K197">
        <v>27000</v>
      </c>
      <c r="L197">
        <v>0.14799999999999999</v>
      </c>
      <c r="M197">
        <v>1</v>
      </c>
      <c r="N197">
        <v>29</v>
      </c>
      <c r="O197">
        <v>38340</v>
      </c>
      <c r="P197">
        <v>230040</v>
      </c>
      <c r="Q197">
        <v>162000</v>
      </c>
      <c r="R197">
        <v>68040</v>
      </c>
      <c r="S197">
        <v>29.6</v>
      </c>
      <c r="T197">
        <v>2.5000000000000001E-2</v>
      </c>
      <c r="U197">
        <v>5751</v>
      </c>
    </row>
    <row r="198" spans="1:21" x14ac:dyDescent="0.2">
      <c r="A198" t="s">
        <v>259</v>
      </c>
      <c r="B198" t="s">
        <v>22</v>
      </c>
      <c r="C198" t="s">
        <v>35</v>
      </c>
      <c r="D198" t="s">
        <v>31</v>
      </c>
      <c r="E198" t="s">
        <v>25</v>
      </c>
      <c r="F198" t="s">
        <v>73</v>
      </c>
      <c r="G198" t="s">
        <v>74</v>
      </c>
      <c r="H198" t="s">
        <v>70</v>
      </c>
      <c r="I198">
        <v>9</v>
      </c>
      <c r="J198">
        <v>22000</v>
      </c>
      <c r="K198">
        <v>13200</v>
      </c>
      <c r="L198">
        <v>2.8000000000000001E-2</v>
      </c>
      <c r="M198">
        <v>1</v>
      </c>
      <c r="N198">
        <v>24</v>
      </c>
      <c r="O198">
        <v>21384</v>
      </c>
      <c r="P198">
        <v>192456</v>
      </c>
      <c r="Q198">
        <v>118800</v>
      </c>
      <c r="R198">
        <v>73656</v>
      </c>
      <c r="S198">
        <v>38.299999999999997</v>
      </c>
      <c r="T198">
        <v>0.06</v>
      </c>
      <c r="U198">
        <v>11547.36</v>
      </c>
    </row>
    <row r="199" spans="1:21" x14ac:dyDescent="0.2">
      <c r="A199" t="s">
        <v>260</v>
      </c>
      <c r="B199" t="s">
        <v>54</v>
      </c>
      <c r="C199" t="s">
        <v>23</v>
      </c>
      <c r="D199" t="s">
        <v>67</v>
      </c>
      <c r="E199" t="s">
        <v>41</v>
      </c>
      <c r="F199" t="s">
        <v>36</v>
      </c>
      <c r="G199" t="s">
        <v>37</v>
      </c>
      <c r="H199" t="s">
        <v>32</v>
      </c>
      <c r="I199">
        <v>14</v>
      </c>
      <c r="J199">
        <v>8500</v>
      </c>
      <c r="K199">
        <v>5100</v>
      </c>
      <c r="L199">
        <v>6.4000000000000001E-2</v>
      </c>
      <c r="M199">
        <v>1</v>
      </c>
      <c r="N199">
        <v>12</v>
      </c>
      <c r="O199">
        <v>7956</v>
      </c>
      <c r="P199">
        <v>111384</v>
      </c>
      <c r="Q199">
        <v>71400</v>
      </c>
      <c r="R199">
        <v>39984</v>
      </c>
      <c r="S199">
        <v>35.9</v>
      </c>
      <c r="T199">
        <v>2.5000000000000001E-2</v>
      </c>
      <c r="U199">
        <v>2784.6</v>
      </c>
    </row>
    <row r="200" spans="1:21" x14ac:dyDescent="0.2">
      <c r="A200" t="s">
        <v>261</v>
      </c>
      <c r="B200" t="s">
        <v>30</v>
      </c>
      <c r="C200" t="s">
        <v>23</v>
      </c>
      <c r="D200" t="s">
        <v>40</v>
      </c>
      <c r="E200" t="s">
        <v>41</v>
      </c>
      <c r="F200" t="s">
        <v>73</v>
      </c>
      <c r="G200" t="s">
        <v>74</v>
      </c>
      <c r="H200" t="s">
        <v>38</v>
      </c>
      <c r="I200">
        <v>10</v>
      </c>
      <c r="J200">
        <v>22000</v>
      </c>
      <c r="K200">
        <v>13200</v>
      </c>
      <c r="L200">
        <v>1.7999999999999999E-2</v>
      </c>
      <c r="M200">
        <v>0</v>
      </c>
      <c r="N200">
        <v>43</v>
      </c>
      <c r="O200">
        <v>21604</v>
      </c>
      <c r="P200">
        <v>216040</v>
      </c>
      <c r="Q200">
        <v>132000</v>
      </c>
      <c r="R200">
        <v>84040</v>
      </c>
      <c r="S200">
        <v>38.9</v>
      </c>
      <c r="T200">
        <v>2.5000000000000001E-2</v>
      </c>
      <c r="U200">
        <v>5401</v>
      </c>
    </row>
    <row r="201" spans="1:21" x14ac:dyDescent="0.2">
      <c r="A201" t="s">
        <v>262</v>
      </c>
      <c r="B201" t="s">
        <v>30</v>
      </c>
      <c r="C201" t="s">
        <v>23</v>
      </c>
      <c r="D201" t="s">
        <v>83</v>
      </c>
      <c r="E201" t="s">
        <v>25</v>
      </c>
      <c r="F201" t="s">
        <v>56</v>
      </c>
      <c r="G201" t="s">
        <v>57</v>
      </c>
      <c r="H201" t="s">
        <v>59</v>
      </c>
      <c r="I201">
        <v>13</v>
      </c>
      <c r="J201">
        <v>180000</v>
      </c>
      <c r="K201">
        <v>108000</v>
      </c>
      <c r="L201">
        <v>4.9000000000000002E-2</v>
      </c>
      <c r="M201">
        <v>1</v>
      </c>
      <c r="N201">
        <v>38</v>
      </c>
      <c r="O201">
        <v>171180</v>
      </c>
      <c r="P201">
        <v>2225340</v>
      </c>
      <c r="Q201">
        <v>1404000</v>
      </c>
      <c r="R201">
        <v>821340</v>
      </c>
      <c r="S201">
        <v>36.9</v>
      </c>
      <c r="T201">
        <v>0.06</v>
      </c>
      <c r="U201">
        <v>133520.4</v>
      </c>
    </row>
    <row r="202" spans="1:21" x14ac:dyDescent="0.2">
      <c r="A202" t="s">
        <v>263</v>
      </c>
      <c r="B202" t="s">
        <v>34</v>
      </c>
      <c r="C202" t="s">
        <v>50</v>
      </c>
      <c r="D202" t="s">
        <v>45</v>
      </c>
      <c r="E202" t="s">
        <v>25</v>
      </c>
      <c r="F202" t="s">
        <v>46</v>
      </c>
      <c r="G202" t="s">
        <v>47</v>
      </c>
      <c r="H202" t="s">
        <v>75</v>
      </c>
      <c r="I202">
        <v>3</v>
      </c>
      <c r="J202">
        <v>95000</v>
      </c>
      <c r="K202">
        <v>57000</v>
      </c>
      <c r="L202">
        <v>4.5999999999999999E-2</v>
      </c>
      <c r="M202">
        <v>1</v>
      </c>
      <c r="N202">
        <v>16</v>
      </c>
      <c r="O202">
        <v>90630</v>
      </c>
      <c r="P202">
        <v>271890</v>
      </c>
      <c r="Q202">
        <v>171000</v>
      </c>
      <c r="R202">
        <v>100890</v>
      </c>
      <c r="S202">
        <v>37.1</v>
      </c>
      <c r="T202">
        <v>0.06</v>
      </c>
      <c r="U202">
        <v>16313.4</v>
      </c>
    </row>
    <row r="203" spans="1:21" x14ac:dyDescent="0.2">
      <c r="A203" t="s">
        <v>264</v>
      </c>
      <c r="B203" t="s">
        <v>54</v>
      </c>
      <c r="C203" t="s">
        <v>50</v>
      </c>
      <c r="D203" t="s">
        <v>45</v>
      </c>
      <c r="E203" t="s">
        <v>25</v>
      </c>
      <c r="F203" t="s">
        <v>73</v>
      </c>
      <c r="G203" t="s">
        <v>74</v>
      </c>
      <c r="H203" t="s">
        <v>52</v>
      </c>
      <c r="I203">
        <v>11</v>
      </c>
      <c r="J203">
        <v>22000</v>
      </c>
      <c r="K203">
        <v>13200</v>
      </c>
      <c r="L203">
        <v>8.9999999999999993E-3</v>
      </c>
      <c r="M203">
        <v>1</v>
      </c>
      <c r="N203">
        <v>34</v>
      </c>
      <c r="O203">
        <v>21802</v>
      </c>
      <c r="P203">
        <v>239822</v>
      </c>
      <c r="Q203">
        <v>145200</v>
      </c>
      <c r="R203">
        <v>94622</v>
      </c>
      <c r="S203">
        <v>39.5</v>
      </c>
      <c r="T203">
        <v>0.06</v>
      </c>
      <c r="U203">
        <v>14389.32</v>
      </c>
    </row>
    <row r="204" spans="1:21" x14ac:dyDescent="0.2">
      <c r="A204" t="s">
        <v>265</v>
      </c>
      <c r="B204" t="s">
        <v>30</v>
      </c>
      <c r="C204" t="s">
        <v>50</v>
      </c>
      <c r="D204" t="s">
        <v>45</v>
      </c>
      <c r="E204" t="s">
        <v>25</v>
      </c>
      <c r="F204" t="s">
        <v>73</v>
      </c>
      <c r="G204" t="s">
        <v>74</v>
      </c>
      <c r="H204" t="s">
        <v>38</v>
      </c>
      <c r="I204">
        <v>11</v>
      </c>
      <c r="J204">
        <v>22000</v>
      </c>
      <c r="K204">
        <v>13200</v>
      </c>
      <c r="L204">
        <v>1.9E-2</v>
      </c>
      <c r="M204">
        <v>0</v>
      </c>
      <c r="N204">
        <v>10</v>
      </c>
      <c r="O204">
        <v>21582</v>
      </c>
      <c r="P204">
        <v>237402</v>
      </c>
      <c r="Q204">
        <v>145200</v>
      </c>
      <c r="R204">
        <v>92202</v>
      </c>
      <c r="S204">
        <v>38.799999999999997</v>
      </c>
      <c r="T204">
        <v>0.06</v>
      </c>
      <c r="U204">
        <v>14244.12</v>
      </c>
    </row>
    <row r="205" spans="1:21" x14ac:dyDescent="0.2">
      <c r="A205" t="s">
        <v>266</v>
      </c>
      <c r="B205" t="s">
        <v>22</v>
      </c>
      <c r="C205" t="s">
        <v>44</v>
      </c>
      <c r="D205" t="s">
        <v>45</v>
      </c>
      <c r="E205" t="s">
        <v>25</v>
      </c>
      <c r="F205" t="s">
        <v>46</v>
      </c>
      <c r="G205" t="s">
        <v>47</v>
      </c>
      <c r="H205" t="s">
        <v>52</v>
      </c>
      <c r="I205">
        <v>5</v>
      </c>
      <c r="J205">
        <v>95000</v>
      </c>
      <c r="K205">
        <v>57000</v>
      </c>
      <c r="L205">
        <v>8.9999999999999993E-3</v>
      </c>
      <c r="M205">
        <v>1</v>
      </c>
      <c r="N205">
        <v>13</v>
      </c>
      <c r="O205">
        <v>94145</v>
      </c>
      <c r="P205">
        <v>470725</v>
      </c>
      <c r="Q205">
        <v>285000</v>
      </c>
      <c r="R205">
        <v>185725</v>
      </c>
      <c r="S205">
        <v>39.5</v>
      </c>
      <c r="T205">
        <v>0.06</v>
      </c>
      <c r="U205">
        <v>28243.5</v>
      </c>
    </row>
    <row r="206" spans="1:21" x14ac:dyDescent="0.2">
      <c r="A206" t="s">
        <v>267</v>
      </c>
      <c r="B206" t="s">
        <v>30</v>
      </c>
      <c r="C206" t="s">
        <v>35</v>
      </c>
      <c r="D206" t="s">
        <v>55</v>
      </c>
      <c r="E206" t="s">
        <v>41</v>
      </c>
      <c r="F206" t="s">
        <v>46</v>
      </c>
      <c r="G206" t="s">
        <v>47</v>
      </c>
      <c r="H206" t="s">
        <v>70</v>
      </c>
      <c r="I206">
        <v>10</v>
      </c>
      <c r="J206">
        <v>95000</v>
      </c>
      <c r="K206">
        <v>57000</v>
      </c>
      <c r="L206">
        <v>0.16900000000000001</v>
      </c>
      <c r="M206">
        <v>1</v>
      </c>
      <c r="N206">
        <v>31</v>
      </c>
      <c r="O206">
        <v>78945</v>
      </c>
      <c r="P206">
        <v>789450</v>
      </c>
      <c r="Q206">
        <v>570000</v>
      </c>
      <c r="R206">
        <v>219450</v>
      </c>
      <c r="S206">
        <v>27.8</v>
      </c>
      <c r="T206">
        <v>2.5000000000000001E-2</v>
      </c>
      <c r="U206">
        <v>19736.25</v>
      </c>
    </row>
    <row r="207" spans="1:21" x14ac:dyDescent="0.2">
      <c r="A207" t="s">
        <v>268</v>
      </c>
      <c r="B207" t="s">
        <v>22</v>
      </c>
      <c r="C207" t="s">
        <v>35</v>
      </c>
      <c r="D207" t="s">
        <v>67</v>
      </c>
      <c r="E207" t="s">
        <v>41</v>
      </c>
      <c r="F207" t="s">
        <v>86</v>
      </c>
      <c r="G207" t="s">
        <v>87</v>
      </c>
      <c r="H207" t="s">
        <v>59</v>
      </c>
      <c r="I207">
        <v>7</v>
      </c>
      <c r="J207">
        <v>28000</v>
      </c>
      <c r="K207">
        <v>16800</v>
      </c>
      <c r="L207">
        <v>0.12</v>
      </c>
      <c r="M207">
        <v>1</v>
      </c>
      <c r="N207">
        <v>38</v>
      </c>
      <c r="O207">
        <v>24640</v>
      </c>
      <c r="P207">
        <v>172480</v>
      </c>
      <c r="Q207">
        <v>117600</v>
      </c>
      <c r="R207">
        <v>54880</v>
      </c>
      <c r="S207">
        <v>31.8</v>
      </c>
      <c r="T207">
        <v>2.5000000000000001E-2</v>
      </c>
      <c r="U207">
        <v>4312</v>
      </c>
    </row>
    <row r="208" spans="1:21" x14ac:dyDescent="0.2">
      <c r="A208" t="s">
        <v>269</v>
      </c>
      <c r="B208" t="s">
        <v>22</v>
      </c>
      <c r="C208" t="s">
        <v>44</v>
      </c>
      <c r="D208" t="s">
        <v>55</v>
      </c>
      <c r="E208" t="s">
        <v>41</v>
      </c>
      <c r="F208" t="s">
        <v>56</v>
      </c>
      <c r="G208" t="s">
        <v>57</v>
      </c>
      <c r="H208" t="s">
        <v>52</v>
      </c>
      <c r="I208">
        <v>2</v>
      </c>
      <c r="J208">
        <v>180000</v>
      </c>
      <c r="K208">
        <v>108000</v>
      </c>
      <c r="L208">
        <v>0.03</v>
      </c>
      <c r="M208">
        <v>0</v>
      </c>
      <c r="N208">
        <v>14</v>
      </c>
      <c r="O208">
        <v>174600</v>
      </c>
      <c r="P208">
        <v>349200</v>
      </c>
      <c r="Q208">
        <v>216000</v>
      </c>
      <c r="R208">
        <v>133200</v>
      </c>
      <c r="S208">
        <v>38.1</v>
      </c>
      <c r="T208">
        <v>2.5000000000000001E-2</v>
      </c>
      <c r="U208">
        <v>8730</v>
      </c>
    </row>
    <row r="209" spans="1:21" x14ac:dyDescent="0.2">
      <c r="A209" t="s">
        <v>270</v>
      </c>
      <c r="B209" t="s">
        <v>22</v>
      </c>
      <c r="C209" t="s">
        <v>44</v>
      </c>
      <c r="D209" t="s">
        <v>83</v>
      </c>
      <c r="E209" t="s">
        <v>25</v>
      </c>
      <c r="F209" t="s">
        <v>73</v>
      </c>
      <c r="G209" t="s">
        <v>74</v>
      </c>
      <c r="H209" t="s">
        <v>28</v>
      </c>
      <c r="I209">
        <v>11</v>
      </c>
      <c r="J209">
        <v>22000</v>
      </c>
      <c r="K209">
        <v>13200</v>
      </c>
      <c r="L209">
        <v>3.6999999999999998E-2</v>
      </c>
      <c r="M209">
        <v>0</v>
      </c>
      <c r="N209">
        <v>42</v>
      </c>
      <c r="O209">
        <v>21186</v>
      </c>
      <c r="P209">
        <v>233046</v>
      </c>
      <c r="Q209">
        <v>145200</v>
      </c>
      <c r="R209">
        <v>87846</v>
      </c>
      <c r="S209">
        <v>37.700000000000003</v>
      </c>
      <c r="T209">
        <v>0.06</v>
      </c>
      <c r="U209">
        <v>13982.76</v>
      </c>
    </row>
    <row r="210" spans="1:21" x14ac:dyDescent="0.2">
      <c r="A210" t="s">
        <v>271</v>
      </c>
      <c r="B210" t="s">
        <v>34</v>
      </c>
      <c r="C210" t="s">
        <v>35</v>
      </c>
      <c r="D210" t="s">
        <v>55</v>
      </c>
      <c r="E210" t="s">
        <v>41</v>
      </c>
      <c r="F210" t="s">
        <v>51</v>
      </c>
      <c r="G210" t="s">
        <v>37</v>
      </c>
      <c r="H210" t="s">
        <v>32</v>
      </c>
      <c r="I210">
        <v>7</v>
      </c>
      <c r="J210">
        <v>32000</v>
      </c>
      <c r="K210">
        <v>19200</v>
      </c>
      <c r="L210">
        <v>1.9E-2</v>
      </c>
      <c r="M210">
        <v>0</v>
      </c>
      <c r="N210">
        <v>14</v>
      </c>
      <c r="O210">
        <v>31392</v>
      </c>
      <c r="P210">
        <v>219744</v>
      </c>
      <c r="Q210">
        <v>134400</v>
      </c>
      <c r="R210">
        <v>85344</v>
      </c>
      <c r="S210">
        <v>38.799999999999997</v>
      </c>
      <c r="T210">
        <v>2.5000000000000001E-2</v>
      </c>
      <c r="U210">
        <v>5493.6</v>
      </c>
    </row>
    <row r="211" spans="1:21" x14ac:dyDescent="0.2">
      <c r="A211" t="s">
        <v>272</v>
      </c>
      <c r="B211" t="s">
        <v>30</v>
      </c>
      <c r="C211" t="s">
        <v>44</v>
      </c>
      <c r="D211" t="s">
        <v>67</v>
      </c>
      <c r="E211" t="s">
        <v>41</v>
      </c>
      <c r="F211" t="s">
        <v>36</v>
      </c>
      <c r="G211" t="s">
        <v>37</v>
      </c>
      <c r="H211" t="s">
        <v>75</v>
      </c>
      <c r="I211">
        <v>8</v>
      </c>
      <c r="J211">
        <v>8500</v>
      </c>
      <c r="K211">
        <v>5100</v>
      </c>
      <c r="L211">
        <v>1.7000000000000001E-2</v>
      </c>
      <c r="M211">
        <v>1</v>
      </c>
      <c r="N211">
        <v>38</v>
      </c>
      <c r="O211">
        <v>8355.5</v>
      </c>
      <c r="P211">
        <v>66844</v>
      </c>
      <c r="Q211">
        <v>40800</v>
      </c>
      <c r="R211">
        <v>26044</v>
      </c>
      <c r="S211">
        <v>39</v>
      </c>
      <c r="T211">
        <v>2.5000000000000001E-2</v>
      </c>
      <c r="U211">
        <v>1671.1</v>
      </c>
    </row>
    <row r="212" spans="1:21" x14ac:dyDescent="0.2">
      <c r="A212" t="s">
        <v>273</v>
      </c>
      <c r="B212" t="s">
        <v>54</v>
      </c>
      <c r="C212" t="s">
        <v>50</v>
      </c>
      <c r="D212" t="s">
        <v>55</v>
      </c>
      <c r="E212" t="s">
        <v>41</v>
      </c>
      <c r="F212" t="s">
        <v>56</v>
      </c>
      <c r="G212" t="s">
        <v>57</v>
      </c>
      <c r="H212" t="s">
        <v>48</v>
      </c>
      <c r="I212">
        <v>9</v>
      </c>
      <c r="J212">
        <v>180000</v>
      </c>
      <c r="K212">
        <v>108000</v>
      </c>
      <c r="L212">
        <v>0.17599999999999999</v>
      </c>
      <c r="M212">
        <v>0</v>
      </c>
      <c r="N212">
        <v>43</v>
      </c>
      <c r="O212">
        <v>148320</v>
      </c>
      <c r="P212">
        <v>1334880</v>
      </c>
      <c r="Q212">
        <v>972000</v>
      </c>
      <c r="R212">
        <v>362880</v>
      </c>
      <c r="S212">
        <v>27.2</v>
      </c>
      <c r="T212">
        <v>2.5000000000000001E-2</v>
      </c>
      <c r="U212">
        <v>33372</v>
      </c>
    </row>
    <row r="213" spans="1:21" x14ac:dyDescent="0.2">
      <c r="A213" t="s">
        <v>274</v>
      </c>
      <c r="B213" t="s">
        <v>34</v>
      </c>
      <c r="C213" t="s">
        <v>50</v>
      </c>
      <c r="D213" t="s">
        <v>31</v>
      </c>
      <c r="E213" t="s">
        <v>25</v>
      </c>
      <c r="F213" t="s">
        <v>26</v>
      </c>
      <c r="G213" t="s">
        <v>27</v>
      </c>
      <c r="H213" t="s">
        <v>52</v>
      </c>
      <c r="I213">
        <v>11</v>
      </c>
      <c r="J213">
        <v>35000</v>
      </c>
      <c r="K213">
        <v>21000</v>
      </c>
      <c r="L213">
        <v>8.1000000000000003E-2</v>
      </c>
      <c r="M213">
        <v>1</v>
      </c>
      <c r="N213">
        <v>37</v>
      </c>
      <c r="O213">
        <v>32165</v>
      </c>
      <c r="P213">
        <v>353815</v>
      </c>
      <c r="Q213">
        <v>231000</v>
      </c>
      <c r="R213">
        <v>122815</v>
      </c>
      <c r="S213">
        <v>34.700000000000003</v>
      </c>
      <c r="T213">
        <v>0.06</v>
      </c>
      <c r="U213">
        <v>21228.9</v>
      </c>
    </row>
    <row r="214" spans="1:21" x14ac:dyDescent="0.2">
      <c r="A214" t="s">
        <v>275</v>
      </c>
      <c r="B214" t="s">
        <v>54</v>
      </c>
      <c r="C214" t="s">
        <v>81</v>
      </c>
      <c r="D214" t="s">
        <v>55</v>
      </c>
      <c r="E214" t="s">
        <v>41</v>
      </c>
      <c r="F214" t="s">
        <v>86</v>
      </c>
      <c r="G214" t="s">
        <v>87</v>
      </c>
      <c r="H214" t="s">
        <v>64</v>
      </c>
      <c r="I214">
        <v>14</v>
      </c>
      <c r="J214">
        <v>28000</v>
      </c>
      <c r="K214">
        <v>16800</v>
      </c>
      <c r="L214">
        <v>9.9000000000000005E-2</v>
      </c>
      <c r="M214">
        <v>1</v>
      </c>
      <c r="N214">
        <v>12</v>
      </c>
      <c r="O214">
        <v>25228</v>
      </c>
      <c r="P214">
        <v>353192</v>
      </c>
      <c r="Q214">
        <v>235200</v>
      </c>
      <c r="R214">
        <v>117992</v>
      </c>
      <c r="S214">
        <v>33.4</v>
      </c>
      <c r="T214">
        <v>2.5000000000000001E-2</v>
      </c>
      <c r="U214">
        <v>8829.7999999999993</v>
      </c>
    </row>
    <row r="215" spans="1:21" x14ac:dyDescent="0.2">
      <c r="A215" t="s">
        <v>276</v>
      </c>
      <c r="B215" t="s">
        <v>30</v>
      </c>
      <c r="C215" t="s">
        <v>50</v>
      </c>
      <c r="D215" t="s">
        <v>67</v>
      </c>
      <c r="E215" t="s">
        <v>41</v>
      </c>
      <c r="F215" t="s">
        <v>51</v>
      </c>
      <c r="G215" t="s">
        <v>37</v>
      </c>
      <c r="H215" t="s">
        <v>32</v>
      </c>
      <c r="I215">
        <v>2</v>
      </c>
      <c r="J215">
        <v>32000</v>
      </c>
      <c r="K215">
        <v>19200</v>
      </c>
      <c r="L215">
        <v>7.0000000000000001E-3</v>
      </c>
      <c r="M215">
        <v>0</v>
      </c>
      <c r="N215">
        <v>33</v>
      </c>
      <c r="O215">
        <v>31776</v>
      </c>
      <c r="P215">
        <v>63552</v>
      </c>
      <c r="Q215">
        <v>38400</v>
      </c>
      <c r="R215">
        <v>25152</v>
      </c>
      <c r="S215">
        <v>39.6</v>
      </c>
      <c r="T215">
        <v>2.5000000000000001E-2</v>
      </c>
      <c r="U215">
        <v>1588.8</v>
      </c>
    </row>
    <row r="216" spans="1:21" x14ac:dyDescent="0.2">
      <c r="A216" t="s">
        <v>277</v>
      </c>
      <c r="B216" t="s">
        <v>34</v>
      </c>
      <c r="C216" t="s">
        <v>50</v>
      </c>
      <c r="D216" t="s">
        <v>40</v>
      </c>
      <c r="E216" t="s">
        <v>41</v>
      </c>
      <c r="F216" t="s">
        <v>73</v>
      </c>
      <c r="G216" t="s">
        <v>74</v>
      </c>
      <c r="H216" t="s">
        <v>48</v>
      </c>
      <c r="I216">
        <v>1</v>
      </c>
      <c r="J216">
        <v>22000</v>
      </c>
      <c r="K216">
        <v>13200</v>
      </c>
      <c r="L216">
        <v>2.9000000000000001E-2</v>
      </c>
      <c r="M216">
        <v>1</v>
      </c>
      <c r="N216">
        <v>22</v>
      </c>
      <c r="O216">
        <v>21362</v>
      </c>
      <c r="P216">
        <v>21362</v>
      </c>
      <c r="Q216">
        <v>13200</v>
      </c>
      <c r="R216">
        <v>8162</v>
      </c>
      <c r="S216">
        <v>38.200000000000003</v>
      </c>
      <c r="T216">
        <v>2.5000000000000001E-2</v>
      </c>
      <c r="U216">
        <v>534.04999999999995</v>
      </c>
    </row>
    <row r="217" spans="1:21" x14ac:dyDescent="0.2">
      <c r="A217" t="s">
        <v>278</v>
      </c>
      <c r="B217" t="s">
        <v>22</v>
      </c>
      <c r="C217" t="s">
        <v>35</v>
      </c>
      <c r="D217" t="s">
        <v>83</v>
      </c>
      <c r="E217" t="s">
        <v>25</v>
      </c>
      <c r="F217" t="s">
        <v>36</v>
      </c>
      <c r="G217" t="s">
        <v>37</v>
      </c>
      <c r="H217" t="s">
        <v>52</v>
      </c>
      <c r="I217">
        <v>9</v>
      </c>
      <c r="J217">
        <v>8500</v>
      </c>
      <c r="K217">
        <v>5100</v>
      </c>
      <c r="L217">
        <v>0.11700000000000001</v>
      </c>
      <c r="M217">
        <v>1</v>
      </c>
      <c r="N217">
        <v>26</v>
      </c>
      <c r="O217">
        <v>7505.5</v>
      </c>
      <c r="P217">
        <v>67549.5</v>
      </c>
      <c r="Q217">
        <v>45900</v>
      </c>
      <c r="R217">
        <v>21649.5</v>
      </c>
      <c r="S217">
        <v>32</v>
      </c>
      <c r="T217">
        <v>0.06</v>
      </c>
      <c r="U217">
        <v>4052.97</v>
      </c>
    </row>
    <row r="218" spans="1:21" x14ac:dyDescent="0.2">
      <c r="A218" t="s">
        <v>279</v>
      </c>
      <c r="B218" t="s">
        <v>30</v>
      </c>
      <c r="C218" t="s">
        <v>81</v>
      </c>
      <c r="D218" t="s">
        <v>67</v>
      </c>
      <c r="E218" t="s">
        <v>41</v>
      </c>
      <c r="F218" t="s">
        <v>86</v>
      </c>
      <c r="G218" t="s">
        <v>87</v>
      </c>
      <c r="H218" t="s">
        <v>59</v>
      </c>
      <c r="I218">
        <v>1</v>
      </c>
      <c r="J218">
        <v>28000</v>
      </c>
      <c r="K218">
        <v>16800</v>
      </c>
      <c r="L218">
        <v>0.14199999999999999</v>
      </c>
      <c r="M218">
        <v>1</v>
      </c>
      <c r="N218">
        <v>16</v>
      </c>
      <c r="O218">
        <v>24024</v>
      </c>
      <c r="P218">
        <v>24024</v>
      </c>
      <c r="Q218">
        <v>16800</v>
      </c>
      <c r="R218">
        <v>7224</v>
      </c>
      <c r="S218">
        <v>30.1</v>
      </c>
      <c r="T218">
        <v>2.5000000000000001E-2</v>
      </c>
      <c r="U218">
        <v>600.6</v>
      </c>
    </row>
    <row r="219" spans="1:21" x14ac:dyDescent="0.2">
      <c r="A219" t="s">
        <v>280</v>
      </c>
      <c r="B219" t="s">
        <v>30</v>
      </c>
      <c r="C219" t="s">
        <v>50</v>
      </c>
      <c r="D219" t="s">
        <v>45</v>
      </c>
      <c r="E219" t="s">
        <v>25</v>
      </c>
      <c r="F219" t="s">
        <v>86</v>
      </c>
      <c r="G219" t="s">
        <v>87</v>
      </c>
      <c r="H219" t="s">
        <v>38</v>
      </c>
      <c r="I219">
        <v>12</v>
      </c>
      <c r="J219">
        <v>28000</v>
      </c>
      <c r="K219">
        <v>16800</v>
      </c>
      <c r="L219">
        <v>2.5999999999999999E-2</v>
      </c>
      <c r="M219">
        <v>1</v>
      </c>
      <c r="N219">
        <v>3</v>
      </c>
      <c r="O219">
        <v>27272</v>
      </c>
      <c r="P219">
        <v>327264</v>
      </c>
      <c r="Q219">
        <v>201600</v>
      </c>
      <c r="R219">
        <v>125664</v>
      </c>
      <c r="S219">
        <v>38.4</v>
      </c>
      <c r="T219">
        <v>0.06</v>
      </c>
      <c r="U219">
        <v>19635.84</v>
      </c>
    </row>
    <row r="220" spans="1:21" x14ac:dyDescent="0.2">
      <c r="A220" t="s">
        <v>281</v>
      </c>
      <c r="B220" t="s">
        <v>34</v>
      </c>
      <c r="C220" t="s">
        <v>81</v>
      </c>
      <c r="D220" t="s">
        <v>31</v>
      </c>
      <c r="E220" t="s">
        <v>25</v>
      </c>
      <c r="F220" t="s">
        <v>26</v>
      </c>
      <c r="G220" t="s">
        <v>27</v>
      </c>
      <c r="H220" t="s">
        <v>75</v>
      </c>
      <c r="I220">
        <v>2</v>
      </c>
      <c r="J220">
        <v>35000</v>
      </c>
      <c r="K220">
        <v>21000</v>
      </c>
      <c r="L220">
        <v>2.5000000000000001E-2</v>
      </c>
      <c r="M220">
        <v>1</v>
      </c>
      <c r="N220">
        <v>30</v>
      </c>
      <c r="O220">
        <v>34125</v>
      </c>
      <c r="P220">
        <v>68250</v>
      </c>
      <c r="Q220">
        <v>42000</v>
      </c>
      <c r="R220">
        <v>26250</v>
      </c>
      <c r="S220">
        <v>38.5</v>
      </c>
      <c r="T220">
        <v>0.06</v>
      </c>
      <c r="U220">
        <v>4095</v>
      </c>
    </row>
    <row r="221" spans="1:21" x14ac:dyDescent="0.2">
      <c r="A221" t="s">
        <v>282</v>
      </c>
      <c r="B221" t="s">
        <v>54</v>
      </c>
      <c r="C221" t="s">
        <v>23</v>
      </c>
      <c r="D221" t="s">
        <v>67</v>
      </c>
      <c r="E221" t="s">
        <v>41</v>
      </c>
      <c r="F221" t="s">
        <v>56</v>
      </c>
      <c r="G221" t="s">
        <v>57</v>
      </c>
      <c r="H221" t="s">
        <v>32</v>
      </c>
      <c r="I221">
        <v>8</v>
      </c>
      <c r="J221">
        <v>180000</v>
      </c>
      <c r="K221">
        <v>108000</v>
      </c>
      <c r="L221">
        <v>0.17399999999999999</v>
      </c>
      <c r="M221">
        <v>1</v>
      </c>
      <c r="N221">
        <v>8</v>
      </c>
      <c r="O221">
        <v>148680</v>
      </c>
      <c r="P221">
        <v>1189440</v>
      </c>
      <c r="Q221">
        <v>864000</v>
      </c>
      <c r="R221">
        <v>325440</v>
      </c>
      <c r="S221">
        <v>27.4</v>
      </c>
      <c r="T221">
        <v>2.5000000000000001E-2</v>
      </c>
      <c r="U221">
        <v>29736</v>
      </c>
    </row>
    <row r="222" spans="1:21" x14ac:dyDescent="0.2">
      <c r="A222" t="s">
        <v>283</v>
      </c>
      <c r="B222" t="s">
        <v>22</v>
      </c>
      <c r="C222" t="s">
        <v>50</v>
      </c>
      <c r="D222" t="s">
        <v>67</v>
      </c>
      <c r="E222" t="s">
        <v>41</v>
      </c>
      <c r="F222" t="s">
        <v>46</v>
      </c>
      <c r="G222" t="s">
        <v>47</v>
      </c>
      <c r="H222" t="s">
        <v>75</v>
      </c>
      <c r="I222">
        <v>1</v>
      </c>
      <c r="J222">
        <v>95000</v>
      </c>
      <c r="K222">
        <v>57000</v>
      </c>
      <c r="L222">
        <v>0.19</v>
      </c>
      <c r="M222">
        <v>0</v>
      </c>
      <c r="N222">
        <v>23</v>
      </c>
      <c r="O222">
        <v>76950</v>
      </c>
      <c r="P222">
        <v>76950</v>
      </c>
      <c r="Q222">
        <v>57000</v>
      </c>
      <c r="R222">
        <v>19950</v>
      </c>
      <c r="S222">
        <v>25.9</v>
      </c>
      <c r="T222">
        <v>2.5000000000000001E-2</v>
      </c>
      <c r="U222">
        <v>1923.75</v>
      </c>
    </row>
    <row r="223" spans="1:21" x14ac:dyDescent="0.2">
      <c r="A223" t="s">
        <v>284</v>
      </c>
      <c r="B223" t="s">
        <v>22</v>
      </c>
      <c r="C223" t="s">
        <v>50</v>
      </c>
      <c r="D223" t="s">
        <v>31</v>
      </c>
      <c r="E223" t="s">
        <v>25</v>
      </c>
      <c r="F223" t="s">
        <v>56</v>
      </c>
      <c r="G223" t="s">
        <v>57</v>
      </c>
      <c r="H223" t="s">
        <v>59</v>
      </c>
      <c r="I223">
        <v>4</v>
      </c>
      <c r="J223">
        <v>180000</v>
      </c>
      <c r="K223">
        <v>108000</v>
      </c>
      <c r="L223">
        <v>5.8999999999999997E-2</v>
      </c>
      <c r="M223">
        <v>0</v>
      </c>
      <c r="N223">
        <v>29</v>
      </c>
      <c r="O223">
        <v>169380</v>
      </c>
      <c r="P223">
        <v>677520</v>
      </c>
      <c r="Q223">
        <v>432000</v>
      </c>
      <c r="R223">
        <v>245520</v>
      </c>
      <c r="S223">
        <v>36.200000000000003</v>
      </c>
      <c r="T223">
        <v>0.06</v>
      </c>
      <c r="U223">
        <v>40651.199999999997</v>
      </c>
    </row>
    <row r="224" spans="1:21" x14ac:dyDescent="0.2">
      <c r="A224" t="s">
        <v>285</v>
      </c>
      <c r="B224" t="s">
        <v>22</v>
      </c>
      <c r="C224" t="s">
        <v>35</v>
      </c>
      <c r="D224" t="s">
        <v>67</v>
      </c>
      <c r="E224" t="s">
        <v>41</v>
      </c>
      <c r="F224" t="s">
        <v>46</v>
      </c>
      <c r="G224" t="s">
        <v>47</v>
      </c>
      <c r="H224" t="s">
        <v>75</v>
      </c>
      <c r="I224">
        <v>7</v>
      </c>
      <c r="J224">
        <v>95000</v>
      </c>
      <c r="K224">
        <v>57000</v>
      </c>
      <c r="L224">
        <v>2.4E-2</v>
      </c>
      <c r="M224">
        <v>1</v>
      </c>
      <c r="N224">
        <v>28</v>
      </c>
      <c r="O224">
        <v>92720</v>
      </c>
      <c r="P224">
        <v>649040</v>
      </c>
      <c r="Q224">
        <v>399000</v>
      </c>
      <c r="R224">
        <v>250040</v>
      </c>
      <c r="S224">
        <v>38.5</v>
      </c>
      <c r="T224">
        <v>2.5000000000000001E-2</v>
      </c>
      <c r="U224">
        <v>16226</v>
      </c>
    </row>
    <row r="225" spans="1:21" x14ac:dyDescent="0.2">
      <c r="A225" t="s">
        <v>286</v>
      </c>
      <c r="B225" t="s">
        <v>30</v>
      </c>
      <c r="C225" t="s">
        <v>35</v>
      </c>
      <c r="D225" t="s">
        <v>83</v>
      </c>
      <c r="E225" t="s">
        <v>25</v>
      </c>
      <c r="F225" t="s">
        <v>62</v>
      </c>
      <c r="G225" t="s">
        <v>57</v>
      </c>
      <c r="H225" t="s">
        <v>70</v>
      </c>
      <c r="I225">
        <v>14</v>
      </c>
      <c r="J225">
        <v>45000</v>
      </c>
      <c r="K225">
        <v>27000</v>
      </c>
      <c r="L225">
        <v>4.1000000000000002E-2</v>
      </c>
      <c r="M225">
        <v>0</v>
      </c>
      <c r="N225">
        <v>16</v>
      </c>
      <c r="O225">
        <v>43155</v>
      </c>
      <c r="P225">
        <v>604170</v>
      </c>
      <c r="Q225">
        <v>378000</v>
      </c>
      <c r="R225">
        <v>226170</v>
      </c>
      <c r="S225">
        <v>37.4</v>
      </c>
      <c r="T225">
        <v>0.06</v>
      </c>
      <c r="U225">
        <v>36250.199999999997</v>
      </c>
    </row>
    <row r="226" spans="1:21" x14ac:dyDescent="0.2">
      <c r="A226" t="s">
        <v>287</v>
      </c>
      <c r="B226" t="s">
        <v>30</v>
      </c>
      <c r="C226" t="s">
        <v>35</v>
      </c>
      <c r="D226" t="s">
        <v>67</v>
      </c>
      <c r="E226" t="s">
        <v>41</v>
      </c>
      <c r="F226" t="s">
        <v>62</v>
      </c>
      <c r="G226" t="s">
        <v>57</v>
      </c>
      <c r="H226" t="s">
        <v>64</v>
      </c>
      <c r="I226">
        <v>14</v>
      </c>
      <c r="J226">
        <v>45000</v>
      </c>
      <c r="K226">
        <v>27000</v>
      </c>
      <c r="L226">
        <v>8.4000000000000005E-2</v>
      </c>
      <c r="M226">
        <v>1</v>
      </c>
      <c r="N226">
        <v>40</v>
      </c>
      <c r="O226">
        <v>41220</v>
      </c>
      <c r="P226">
        <v>577080</v>
      </c>
      <c r="Q226">
        <v>378000</v>
      </c>
      <c r="R226">
        <v>199080</v>
      </c>
      <c r="S226">
        <v>34.5</v>
      </c>
      <c r="T226">
        <v>2.5000000000000001E-2</v>
      </c>
      <c r="U226">
        <v>14427</v>
      </c>
    </row>
    <row r="227" spans="1:21" x14ac:dyDescent="0.2">
      <c r="A227" t="s">
        <v>288</v>
      </c>
      <c r="B227" t="s">
        <v>22</v>
      </c>
      <c r="C227" t="s">
        <v>44</v>
      </c>
      <c r="D227" t="s">
        <v>55</v>
      </c>
      <c r="E227" t="s">
        <v>41</v>
      </c>
      <c r="F227" t="s">
        <v>73</v>
      </c>
      <c r="G227" t="s">
        <v>74</v>
      </c>
      <c r="H227" t="s">
        <v>32</v>
      </c>
      <c r="I227">
        <v>11</v>
      </c>
      <c r="J227">
        <v>22000</v>
      </c>
      <c r="K227">
        <v>13200</v>
      </c>
      <c r="L227">
        <v>0.06</v>
      </c>
      <c r="M227">
        <v>1</v>
      </c>
      <c r="N227">
        <v>11</v>
      </c>
      <c r="O227">
        <v>20680</v>
      </c>
      <c r="P227">
        <v>227480</v>
      </c>
      <c r="Q227">
        <v>145200</v>
      </c>
      <c r="R227">
        <v>82280</v>
      </c>
      <c r="S227">
        <v>36.200000000000003</v>
      </c>
      <c r="T227">
        <v>2.5000000000000001E-2</v>
      </c>
      <c r="U227">
        <v>5687</v>
      </c>
    </row>
    <row r="228" spans="1:21" x14ac:dyDescent="0.2">
      <c r="A228" t="s">
        <v>289</v>
      </c>
      <c r="B228" t="s">
        <v>22</v>
      </c>
      <c r="C228" t="s">
        <v>50</v>
      </c>
      <c r="D228" t="s">
        <v>67</v>
      </c>
      <c r="E228" t="s">
        <v>41</v>
      </c>
      <c r="F228" t="s">
        <v>51</v>
      </c>
      <c r="G228" t="s">
        <v>37</v>
      </c>
      <c r="H228" t="s">
        <v>75</v>
      </c>
      <c r="I228">
        <v>8</v>
      </c>
      <c r="J228">
        <v>32000</v>
      </c>
      <c r="K228">
        <v>19200</v>
      </c>
      <c r="L228">
        <v>7.3999999999999996E-2</v>
      </c>
      <c r="M228">
        <v>1</v>
      </c>
      <c r="N228">
        <v>37</v>
      </c>
      <c r="O228">
        <v>29632</v>
      </c>
      <c r="P228">
        <v>237056</v>
      </c>
      <c r="Q228">
        <v>153600</v>
      </c>
      <c r="R228">
        <v>83456</v>
      </c>
      <c r="S228">
        <v>35.200000000000003</v>
      </c>
      <c r="T228">
        <v>2.5000000000000001E-2</v>
      </c>
      <c r="U228">
        <v>5926.4</v>
      </c>
    </row>
    <row r="229" spans="1:21" x14ac:dyDescent="0.2">
      <c r="A229" t="s">
        <v>290</v>
      </c>
      <c r="B229" t="s">
        <v>30</v>
      </c>
      <c r="C229" t="s">
        <v>35</v>
      </c>
      <c r="D229" t="s">
        <v>40</v>
      </c>
      <c r="E229" t="s">
        <v>41</v>
      </c>
      <c r="F229" t="s">
        <v>51</v>
      </c>
      <c r="G229" t="s">
        <v>37</v>
      </c>
      <c r="H229" t="s">
        <v>38</v>
      </c>
      <c r="I229">
        <v>14</v>
      </c>
      <c r="J229">
        <v>32000</v>
      </c>
      <c r="K229">
        <v>19200</v>
      </c>
      <c r="L229">
        <v>0.21099999999999999</v>
      </c>
      <c r="M229">
        <v>1</v>
      </c>
      <c r="N229">
        <v>15</v>
      </c>
      <c r="O229">
        <v>25248</v>
      </c>
      <c r="P229">
        <v>353472</v>
      </c>
      <c r="Q229">
        <v>268800</v>
      </c>
      <c r="R229">
        <v>84672</v>
      </c>
      <c r="S229">
        <v>24</v>
      </c>
      <c r="T229">
        <v>2.5000000000000001E-2</v>
      </c>
      <c r="U229">
        <v>8836.7999999999993</v>
      </c>
    </row>
    <row r="230" spans="1:21" x14ac:dyDescent="0.2">
      <c r="A230" t="s">
        <v>291</v>
      </c>
      <c r="B230" t="s">
        <v>30</v>
      </c>
      <c r="C230" t="s">
        <v>44</v>
      </c>
      <c r="D230" t="s">
        <v>24</v>
      </c>
      <c r="E230" t="s">
        <v>25</v>
      </c>
      <c r="F230" t="s">
        <v>56</v>
      </c>
      <c r="G230" t="s">
        <v>57</v>
      </c>
      <c r="H230" t="s">
        <v>52</v>
      </c>
      <c r="I230">
        <v>9</v>
      </c>
      <c r="J230">
        <v>180000</v>
      </c>
      <c r="K230">
        <v>108000</v>
      </c>
      <c r="L230">
        <v>1.4999999999999999E-2</v>
      </c>
      <c r="M230">
        <v>1</v>
      </c>
      <c r="N230">
        <v>29</v>
      </c>
      <c r="O230">
        <v>177300</v>
      </c>
      <c r="P230">
        <v>1595700</v>
      </c>
      <c r="Q230">
        <v>972000</v>
      </c>
      <c r="R230">
        <v>623700</v>
      </c>
      <c r="S230">
        <v>39.1</v>
      </c>
      <c r="T230">
        <v>0.06</v>
      </c>
      <c r="U230">
        <v>95742</v>
      </c>
    </row>
    <row r="231" spans="1:21" x14ac:dyDescent="0.2">
      <c r="A231" t="s">
        <v>292</v>
      </c>
      <c r="B231" t="s">
        <v>30</v>
      </c>
      <c r="C231" t="s">
        <v>35</v>
      </c>
      <c r="D231" t="s">
        <v>55</v>
      </c>
      <c r="E231" t="s">
        <v>41</v>
      </c>
      <c r="F231" t="s">
        <v>36</v>
      </c>
      <c r="G231" t="s">
        <v>37</v>
      </c>
      <c r="H231" t="s">
        <v>48</v>
      </c>
      <c r="I231">
        <v>8</v>
      </c>
      <c r="J231">
        <v>8500</v>
      </c>
      <c r="K231">
        <v>5100</v>
      </c>
      <c r="L231">
        <v>8.4000000000000005E-2</v>
      </c>
      <c r="M231">
        <v>1</v>
      </c>
      <c r="N231">
        <v>5</v>
      </c>
      <c r="O231">
        <v>7786</v>
      </c>
      <c r="P231">
        <v>62288</v>
      </c>
      <c r="Q231">
        <v>40800</v>
      </c>
      <c r="R231">
        <v>21488</v>
      </c>
      <c r="S231">
        <v>34.5</v>
      </c>
      <c r="T231">
        <v>2.5000000000000001E-2</v>
      </c>
      <c r="U231">
        <v>1557.2</v>
      </c>
    </row>
    <row r="232" spans="1:21" x14ac:dyDescent="0.2">
      <c r="A232" t="s">
        <v>293</v>
      </c>
      <c r="B232" t="s">
        <v>22</v>
      </c>
      <c r="C232" t="s">
        <v>50</v>
      </c>
      <c r="D232" t="s">
        <v>40</v>
      </c>
      <c r="E232" t="s">
        <v>41</v>
      </c>
      <c r="F232" t="s">
        <v>86</v>
      </c>
      <c r="G232" t="s">
        <v>87</v>
      </c>
      <c r="H232" t="s">
        <v>42</v>
      </c>
      <c r="I232">
        <v>10</v>
      </c>
      <c r="J232">
        <v>28000</v>
      </c>
      <c r="K232">
        <v>16800</v>
      </c>
      <c r="L232">
        <v>0.158</v>
      </c>
      <c r="M232">
        <v>1</v>
      </c>
      <c r="N232">
        <v>19</v>
      </c>
      <c r="O232">
        <v>23576</v>
      </c>
      <c r="P232">
        <v>235760</v>
      </c>
      <c r="Q232">
        <v>168000</v>
      </c>
      <c r="R232">
        <v>67760</v>
      </c>
      <c r="S232">
        <v>28.7</v>
      </c>
      <c r="T232">
        <v>2.5000000000000001E-2</v>
      </c>
      <c r="U232">
        <v>5894</v>
      </c>
    </row>
    <row r="233" spans="1:21" x14ac:dyDescent="0.2">
      <c r="A233" t="s">
        <v>294</v>
      </c>
      <c r="B233" t="s">
        <v>22</v>
      </c>
      <c r="C233" t="s">
        <v>23</v>
      </c>
      <c r="D233" t="s">
        <v>31</v>
      </c>
      <c r="E233" t="s">
        <v>25</v>
      </c>
      <c r="F233" t="s">
        <v>46</v>
      </c>
      <c r="G233" t="s">
        <v>47</v>
      </c>
      <c r="H233" t="s">
        <v>75</v>
      </c>
      <c r="I233">
        <v>1</v>
      </c>
      <c r="J233">
        <v>95000</v>
      </c>
      <c r="K233">
        <v>57000</v>
      </c>
      <c r="L233">
        <v>5.8000000000000003E-2</v>
      </c>
      <c r="M233">
        <v>1</v>
      </c>
      <c r="N233">
        <v>8</v>
      </c>
      <c r="O233">
        <v>89490</v>
      </c>
      <c r="P233">
        <v>89490</v>
      </c>
      <c r="Q233">
        <v>57000</v>
      </c>
      <c r="R233">
        <v>32490</v>
      </c>
      <c r="S233">
        <v>36.299999999999997</v>
      </c>
      <c r="T233">
        <v>0.06</v>
      </c>
      <c r="U233">
        <v>5369.4</v>
      </c>
    </row>
    <row r="234" spans="1:21" x14ac:dyDescent="0.2">
      <c r="A234" t="s">
        <v>295</v>
      </c>
      <c r="B234" t="s">
        <v>54</v>
      </c>
      <c r="C234" t="s">
        <v>35</v>
      </c>
      <c r="D234" t="s">
        <v>67</v>
      </c>
      <c r="E234" t="s">
        <v>41</v>
      </c>
      <c r="F234" t="s">
        <v>51</v>
      </c>
      <c r="G234" t="s">
        <v>37</v>
      </c>
      <c r="H234" t="s">
        <v>75</v>
      </c>
      <c r="I234">
        <v>10</v>
      </c>
      <c r="J234">
        <v>32000</v>
      </c>
      <c r="K234">
        <v>19200</v>
      </c>
      <c r="L234">
        <v>8.2000000000000003E-2</v>
      </c>
      <c r="M234">
        <v>1</v>
      </c>
      <c r="N234">
        <v>41</v>
      </c>
      <c r="O234">
        <v>29376</v>
      </c>
      <c r="P234">
        <v>293760</v>
      </c>
      <c r="Q234">
        <v>192000</v>
      </c>
      <c r="R234">
        <v>101760</v>
      </c>
      <c r="S234">
        <v>34.6</v>
      </c>
      <c r="T234">
        <v>2.5000000000000001E-2</v>
      </c>
      <c r="U234">
        <v>7344</v>
      </c>
    </row>
    <row r="235" spans="1:21" x14ac:dyDescent="0.2">
      <c r="A235" t="s">
        <v>296</v>
      </c>
      <c r="B235" t="s">
        <v>22</v>
      </c>
      <c r="C235" t="s">
        <v>23</v>
      </c>
      <c r="D235" t="s">
        <v>40</v>
      </c>
      <c r="E235" t="s">
        <v>41</v>
      </c>
      <c r="F235" t="s">
        <v>46</v>
      </c>
      <c r="G235" t="s">
        <v>47</v>
      </c>
      <c r="H235" t="s">
        <v>75</v>
      </c>
      <c r="I235">
        <v>4</v>
      </c>
      <c r="J235">
        <v>95000</v>
      </c>
      <c r="K235">
        <v>57000</v>
      </c>
      <c r="L235">
        <v>8.5999999999999993E-2</v>
      </c>
      <c r="M235">
        <v>1</v>
      </c>
      <c r="N235">
        <v>14</v>
      </c>
      <c r="O235">
        <v>86830</v>
      </c>
      <c r="P235">
        <v>347320</v>
      </c>
      <c r="Q235">
        <v>228000</v>
      </c>
      <c r="R235">
        <v>119320</v>
      </c>
      <c r="S235">
        <v>34.4</v>
      </c>
      <c r="T235">
        <v>2.5000000000000001E-2</v>
      </c>
      <c r="U235">
        <v>8683</v>
      </c>
    </row>
    <row r="236" spans="1:21" x14ac:dyDescent="0.2">
      <c r="A236" t="s">
        <v>297</v>
      </c>
      <c r="B236" t="s">
        <v>22</v>
      </c>
      <c r="C236" t="s">
        <v>50</v>
      </c>
      <c r="D236" t="s">
        <v>67</v>
      </c>
      <c r="E236" t="s">
        <v>41</v>
      </c>
      <c r="F236" t="s">
        <v>86</v>
      </c>
      <c r="G236" t="s">
        <v>87</v>
      </c>
      <c r="H236" t="s">
        <v>42</v>
      </c>
      <c r="I236">
        <v>10</v>
      </c>
      <c r="J236">
        <v>28000</v>
      </c>
      <c r="K236">
        <v>16800</v>
      </c>
      <c r="L236">
        <v>0.188</v>
      </c>
      <c r="M236">
        <v>1</v>
      </c>
      <c r="N236">
        <v>37</v>
      </c>
      <c r="O236">
        <v>22736</v>
      </c>
      <c r="P236">
        <v>227360</v>
      </c>
      <c r="Q236">
        <v>168000</v>
      </c>
      <c r="R236">
        <v>59360</v>
      </c>
      <c r="S236">
        <v>26.1</v>
      </c>
      <c r="T236">
        <v>2.5000000000000001E-2</v>
      </c>
      <c r="U236">
        <v>5684</v>
      </c>
    </row>
    <row r="237" spans="1:21" x14ac:dyDescent="0.2">
      <c r="A237" t="s">
        <v>298</v>
      </c>
      <c r="B237" t="s">
        <v>54</v>
      </c>
      <c r="C237" t="s">
        <v>35</v>
      </c>
      <c r="D237" t="s">
        <v>83</v>
      </c>
      <c r="E237" t="s">
        <v>25</v>
      </c>
      <c r="F237" t="s">
        <v>73</v>
      </c>
      <c r="G237" t="s">
        <v>74</v>
      </c>
      <c r="H237" t="s">
        <v>70</v>
      </c>
      <c r="I237">
        <v>14</v>
      </c>
      <c r="J237">
        <v>22000</v>
      </c>
      <c r="K237">
        <v>13200</v>
      </c>
      <c r="L237">
        <v>2.1000000000000001E-2</v>
      </c>
      <c r="M237">
        <v>0</v>
      </c>
      <c r="N237">
        <v>20</v>
      </c>
      <c r="O237">
        <v>21538</v>
      </c>
      <c r="P237">
        <v>301532</v>
      </c>
      <c r="Q237">
        <v>184800</v>
      </c>
      <c r="R237">
        <v>116732</v>
      </c>
      <c r="S237">
        <v>38.700000000000003</v>
      </c>
      <c r="T237">
        <v>0.06</v>
      </c>
      <c r="U237">
        <v>18091.919999999998</v>
      </c>
    </row>
    <row r="238" spans="1:21" x14ac:dyDescent="0.2">
      <c r="A238" t="s">
        <v>299</v>
      </c>
      <c r="B238" t="s">
        <v>30</v>
      </c>
      <c r="C238" t="s">
        <v>23</v>
      </c>
      <c r="D238" t="s">
        <v>67</v>
      </c>
      <c r="E238" t="s">
        <v>41</v>
      </c>
      <c r="F238" t="s">
        <v>46</v>
      </c>
      <c r="G238" t="s">
        <v>47</v>
      </c>
      <c r="H238" t="s">
        <v>64</v>
      </c>
      <c r="I238">
        <v>7</v>
      </c>
      <c r="J238">
        <v>95000</v>
      </c>
      <c r="K238">
        <v>57000</v>
      </c>
      <c r="L238">
        <v>7.3999999999999996E-2</v>
      </c>
      <c r="M238">
        <v>1</v>
      </c>
      <c r="N238">
        <v>9</v>
      </c>
      <c r="O238">
        <v>87970</v>
      </c>
      <c r="P238">
        <v>615790</v>
      </c>
      <c r="Q238">
        <v>399000</v>
      </c>
      <c r="R238">
        <v>216790</v>
      </c>
      <c r="S238">
        <v>35.200000000000003</v>
      </c>
      <c r="T238">
        <v>2.5000000000000001E-2</v>
      </c>
      <c r="U238">
        <v>15394.75</v>
      </c>
    </row>
    <row r="239" spans="1:21" x14ac:dyDescent="0.2">
      <c r="A239" t="s">
        <v>300</v>
      </c>
      <c r="B239" t="s">
        <v>22</v>
      </c>
      <c r="C239" t="s">
        <v>50</v>
      </c>
      <c r="D239" t="s">
        <v>83</v>
      </c>
      <c r="E239" t="s">
        <v>25</v>
      </c>
      <c r="F239" t="s">
        <v>26</v>
      </c>
      <c r="G239" t="s">
        <v>27</v>
      </c>
      <c r="H239" t="s">
        <v>64</v>
      </c>
      <c r="I239">
        <v>11</v>
      </c>
      <c r="J239">
        <v>35000</v>
      </c>
      <c r="K239">
        <v>21000</v>
      </c>
      <c r="L239">
        <v>3.5999999999999997E-2</v>
      </c>
      <c r="M239">
        <v>1</v>
      </c>
      <c r="N239">
        <v>28</v>
      </c>
      <c r="O239">
        <v>33740</v>
      </c>
      <c r="P239">
        <v>371140</v>
      </c>
      <c r="Q239">
        <v>231000</v>
      </c>
      <c r="R239">
        <v>140140</v>
      </c>
      <c r="S239">
        <v>37.799999999999997</v>
      </c>
      <c r="T239">
        <v>0.06</v>
      </c>
      <c r="U239">
        <v>22268.400000000001</v>
      </c>
    </row>
    <row r="240" spans="1:21" x14ac:dyDescent="0.2">
      <c r="A240" t="s">
        <v>301</v>
      </c>
      <c r="B240" t="s">
        <v>30</v>
      </c>
      <c r="C240" t="s">
        <v>35</v>
      </c>
      <c r="D240" t="s">
        <v>31</v>
      </c>
      <c r="E240" t="s">
        <v>25</v>
      </c>
      <c r="F240" t="s">
        <v>86</v>
      </c>
      <c r="G240" t="s">
        <v>87</v>
      </c>
      <c r="H240" t="s">
        <v>52</v>
      </c>
      <c r="I240">
        <v>6</v>
      </c>
      <c r="J240">
        <v>28000</v>
      </c>
      <c r="K240">
        <v>16800</v>
      </c>
      <c r="L240">
        <v>4.5999999999999999E-2</v>
      </c>
      <c r="M240">
        <v>1</v>
      </c>
      <c r="N240">
        <v>40</v>
      </c>
      <c r="O240">
        <v>26712</v>
      </c>
      <c r="P240">
        <v>160272</v>
      </c>
      <c r="Q240">
        <v>100800</v>
      </c>
      <c r="R240">
        <v>59472</v>
      </c>
      <c r="S240">
        <v>37.1</v>
      </c>
      <c r="T240">
        <v>0.06</v>
      </c>
      <c r="U240">
        <v>9616.32</v>
      </c>
    </row>
    <row r="241" spans="1:21" x14ac:dyDescent="0.2">
      <c r="A241" t="s">
        <v>302</v>
      </c>
      <c r="B241" t="s">
        <v>22</v>
      </c>
      <c r="C241" t="s">
        <v>35</v>
      </c>
      <c r="D241" t="s">
        <v>31</v>
      </c>
      <c r="E241" t="s">
        <v>25</v>
      </c>
      <c r="F241" t="s">
        <v>73</v>
      </c>
      <c r="G241" t="s">
        <v>74</v>
      </c>
      <c r="H241" t="s">
        <v>52</v>
      </c>
      <c r="I241">
        <v>13</v>
      </c>
      <c r="J241">
        <v>22000</v>
      </c>
      <c r="K241">
        <v>13200</v>
      </c>
      <c r="L241">
        <v>0.06</v>
      </c>
      <c r="M241">
        <v>1</v>
      </c>
      <c r="N241">
        <v>21</v>
      </c>
      <c r="O241">
        <v>20680</v>
      </c>
      <c r="P241">
        <v>268840</v>
      </c>
      <c r="Q241">
        <v>171600</v>
      </c>
      <c r="R241">
        <v>97240</v>
      </c>
      <c r="S241">
        <v>36.200000000000003</v>
      </c>
      <c r="T241">
        <v>0.06</v>
      </c>
      <c r="U241">
        <v>16130.4</v>
      </c>
    </row>
    <row r="242" spans="1:21" x14ac:dyDescent="0.2">
      <c r="A242" t="s">
        <v>303</v>
      </c>
      <c r="B242" t="s">
        <v>30</v>
      </c>
      <c r="C242" t="s">
        <v>35</v>
      </c>
      <c r="D242" t="s">
        <v>67</v>
      </c>
      <c r="E242" t="s">
        <v>41</v>
      </c>
      <c r="F242" t="s">
        <v>86</v>
      </c>
      <c r="G242" t="s">
        <v>87</v>
      </c>
      <c r="H242" t="s">
        <v>48</v>
      </c>
      <c r="I242">
        <v>1</v>
      </c>
      <c r="J242">
        <v>28000</v>
      </c>
      <c r="K242">
        <v>16800</v>
      </c>
      <c r="L242">
        <v>3.2000000000000001E-2</v>
      </c>
      <c r="M242">
        <v>1</v>
      </c>
      <c r="N242">
        <v>38</v>
      </c>
      <c r="O242">
        <v>27104</v>
      </c>
      <c r="P242">
        <v>27104</v>
      </c>
      <c r="Q242">
        <v>16800</v>
      </c>
      <c r="R242">
        <v>10304</v>
      </c>
      <c r="S242">
        <v>38</v>
      </c>
      <c r="T242">
        <v>2.5000000000000001E-2</v>
      </c>
      <c r="U242">
        <v>677.6</v>
      </c>
    </row>
    <row r="243" spans="1:21" x14ac:dyDescent="0.2">
      <c r="A243" t="s">
        <v>304</v>
      </c>
      <c r="B243" t="s">
        <v>22</v>
      </c>
      <c r="C243" t="s">
        <v>35</v>
      </c>
      <c r="D243" t="s">
        <v>67</v>
      </c>
      <c r="E243" t="s">
        <v>41</v>
      </c>
      <c r="F243" t="s">
        <v>62</v>
      </c>
      <c r="G243" t="s">
        <v>57</v>
      </c>
      <c r="H243" t="s">
        <v>59</v>
      </c>
      <c r="I243">
        <v>6</v>
      </c>
      <c r="J243">
        <v>45000</v>
      </c>
      <c r="K243">
        <v>27000</v>
      </c>
      <c r="L243">
        <v>0.17499999999999999</v>
      </c>
      <c r="M243">
        <v>1</v>
      </c>
      <c r="N243">
        <v>18</v>
      </c>
      <c r="O243">
        <v>37125</v>
      </c>
      <c r="P243">
        <v>222750</v>
      </c>
      <c r="Q243">
        <v>162000</v>
      </c>
      <c r="R243">
        <v>60750</v>
      </c>
      <c r="S243">
        <v>27.3</v>
      </c>
      <c r="T243">
        <v>2.5000000000000001E-2</v>
      </c>
      <c r="U243">
        <v>5568.75</v>
      </c>
    </row>
    <row r="244" spans="1:21" x14ac:dyDescent="0.2">
      <c r="A244" t="s">
        <v>305</v>
      </c>
      <c r="B244" t="s">
        <v>54</v>
      </c>
      <c r="C244" t="s">
        <v>44</v>
      </c>
      <c r="D244" t="s">
        <v>67</v>
      </c>
      <c r="E244" t="s">
        <v>41</v>
      </c>
      <c r="F244" t="s">
        <v>36</v>
      </c>
      <c r="G244" t="s">
        <v>37</v>
      </c>
      <c r="H244" t="s">
        <v>38</v>
      </c>
      <c r="I244">
        <v>1</v>
      </c>
      <c r="J244">
        <v>8500</v>
      </c>
      <c r="K244">
        <v>5100</v>
      </c>
      <c r="L244">
        <v>0.13200000000000001</v>
      </c>
      <c r="M244">
        <v>1</v>
      </c>
      <c r="N244">
        <v>7</v>
      </c>
      <c r="O244">
        <v>7378</v>
      </c>
      <c r="P244">
        <v>7378</v>
      </c>
      <c r="Q244">
        <v>5100</v>
      </c>
      <c r="R244">
        <v>2278</v>
      </c>
      <c r="S244">
        <v>30.9</v>
      </c>
      <c r="T244">
        <v>2.5000000000000001E-2</v>
      </c>
      <c r="U244">
        <v>184.45</v>
      </c>
    </row>
    <row r="245" spans="1:21" x14ac:dyDescent="0.2">
      <c r="A245" t="s">
        <v>306</v>
      </c>
      <c r="B245" t="s">
        <v>54</v>
      </c>
      <c r="C245" t="s">
        <v>23</v>
      </c>
      <c r="D245" t="s">
        <v>83</v>
      </c>
      <c r="E245" t="s">
        <v>25</v>
      </c>
      <c r="F245" t="s">
        <v>86</v>
      </c>
      <c r="G245" t="s">
        <v>87</v>
      </c>
      <c r="H245" t="s">
        <v>59</v>
      </c>
      <c r="I245">
        <v>5</v>
      </c>
      <c r="J245">
        <v>28000</v>
      </c>
      <c r="K245">
        <v>16800</v>
      </c>
      <c r="L245">
        <v>3.6999999999999998E-2</v>
      </c>
      <c r="M245">
        <v>0</v>
      </c>
      <c r="N245">
        <v>14</v>
      </c>
      <c r="O245">
        <v>26964</v>
      </c>
      <c r="P245">
        <v>134820</v>
      </c>
      <c r="Q245">
        <v>84000</v>
      </c>
      <c r="R245">
        <v>50820</v>
      </c>
      <c r="S245">
        <v>37.700000000000003</v>
      </c>
      <c r="T245">
        <v>0.06</v>
      </c>
      <c r="U245">
        <v>8089.2</v>
      </c>
    </row>
    <row r="246" spans="1:21" x14ac:dyDescent="0.2">
      <c r="A246" t="s">
        <v>307</v>
      </c>
      <c r="B246" t="s">
        <v>30</v>
      </c>
      <c r="C246" t="s">
        <v>50</v>
      </c>
      <c r="D246" t="s">
        <v>40</v>
      </c>
      <c r="E246" t="s">
        <v>41</v>
      </c>
      <c r="F246" t="s">
        <v>36</v>
      </c>
      <c r="G246" t="s">
        <v>37</v>
      </c>
      <c r="H246" t="s">
        <v>42</v>
      </c>
      <c r="I246">
        <v>7</v>
      </c>
      <c r="J246">
        <v>8500</v>
      </c>
      <c r="K246">
        <v>5100</v>
      </c>
      <c r="L246">
        <v>0.14899999999999999</v>
      </c>
      <c r="M246">
        <v>0</v>
      </c>
      <c r="N246">
        <v>30</v>
      </c>
      <c r="O246">
        <v>7233.5</v>
      </c>
      <c r="P246">
        <v>50634.5</v>
      </c>
      <c r="Q246">
        <v>35700</v>
      </c>
      <c r="R246">
        <v>14934.5</v>
      </c>
      <c r="S246">
        <v>29.5</v>
      </c>
      <c r="T246">
        <v>2.5000000000000001E-2</v>
      </c>
      <c r="U246">
        <v>1265.8599999999999</v>
      </c>
    </row>
    <row r="247" spans="1:21" x14ac:dyDescent="0.2">
      <c r="A247" t="s">
        <v>308</v>
      </c>
      <c r="B247" t="s">
        <v>30</v>
      </c>
      <c r="C247" t="s">
        <v>35</v>
      </c>
      <c r="D247" t="s">
        <v>31</v>
      </c>
      <c r="E247" t="s">
        <v>25</v>
      </c>
      <c r="F247" t="s">
        <v>62</v>
      </c>
      <c r="G247" t="s">
        <v>57</v>
      </c>
      <c r="H247" t="s">
        <v>28</v>
      </c>
      <c r="I247">
        <v>10</v>
      </c>
      <c r="J247">
        <v>45000</v>
      </c>
      <c r="K247">
        <v>27000</v>
      </c>
      <c r="L247">
        <v>5.3999999999999999E-2</v>
      </c>
      <c r="M247">
        <v>1</v>
      </c>
      <c r="N247">
        <v>13</v>
      </c>
      <c r="O247">
        <v>42570</v>
      </c>
      <c r="P247">
        <v>425700</v>
      </c>
      <c r="Q247">
        <v>270000</v>
      </c>
      <c r="R247">
        <v>155700</v>
      </c>
      <c r="S247">
        <v>36.6</v>
      </c>
      <c r="T247">
        <v>0.06</v>
      </c>
      <c r="U247">
        <v>25542</v>
      </c>
    </row>
    <row r="248" spans="1:21" x14ac:dyDescent="0.2">
      <c r="A248" t="s">
        <v>309</v>
      </c>
      <c r="B248" t="s">
        <v>22</v>
      </c>
      <c r="C248" t="s">
        <v>35</v>
      </c>
      <c r="D248" t="s">
        <v>67</v>
      </c>
      <c r="E248" t="s">
        <v>41</v>
      </c>
      <c r="F248" t="s">
        <v>73</v>
      </c>
      <c r="G248" t="s">
        <v>74</v>
      </c>
      <c r="H248" t="s">
        <v>38</v>
      </c>
      <c r="I248">
        <v>1</v>
      </c>
      <c r="J248">
        <v>22000</v>
      </c>
      <c r="K248">
        <v>13200</v>
      </c>
      <c r="L248">
        <v>0.129</v>
      </c>
      <c r="M248">
        <v>1</v>
      </c>
      <c r="N248">
        <v>38</v>
      </c>
      <c r="O248">
        <v>19162</v>
      </c>
      <c r="P248">
        <v>19162</v>
      </c>
      <c r="Q248">
        <v>13200</v>
      </c>
      <c r="R248">
        <v>5962</v>
      </c>
      <c r="S248">
        <v>31.1</v>
      </c>
      <c r="T248">
        <v>2.5000000000000001E-2</v>
      </c>
      <c r="U248">
        <v>479.05</v>
      </c>
    </row>
    <row r="249" spans="1:21" x14ac:dyDescent="0.2">
      <c r="A249" t="s">
        <v>310</v>
      </c>
      <c r="B249" t="s">
        <v>54</v>
      </c>
      <c r="C249" t="s">
        <v>35</v>
      </c>
      <c r="D249" t="s">
        <v>67</v>
      </c>
      <c r="E249" t="s">
        <v>41</v>
      </c>
      <c r="F249" t="s">
        <v>36</v>
      </c>
      <c r="G249" t="s">
        <v>37</v>
      </c>
      <c r="H249" t="s">
        <v>48</v>
      </c>
      <c r="I249">
        <v>14</v>
      </c>
      <c r="J249">
        <v>8500</v>
      </c>
      <c r="K249">
        <v>5100</v>
      </c>
      <c r="L249">
        <v>0.17899999999999999</v>
      </c>
      <c r="M249">
        <v>1</v>
      </c>
      <c r="N249">
        <v>37</v>
      </c>
      <c r="O249">
        <v>6978.5</v>
      </c>
      <c r="P249">
        <v>97699</v>
      </c>
      <c r="Q249">
        <v>71400</v>
      </c>
      <c r="R249">
        <v>26299</v>
      </c>
      <c r="S249">
        <v>26.9</v>
      </c>
      <c r="T249">
        <v>2.5000000000000001E-2</v>
      </c>
      <c r="U249">
        <v>2442.48</v>
      </c>
    </row>
    <row r="250" spans="1:21" x14ac:dyDescent="0.2">
      <c r="A250" t="s">
        <v>311</v>
      </c>
      <c r="B250" t="s">
        <v>54</v>
      </c>
      <c r="C250" t="s">
        <v>44</v>
      </c>
      <c r="D250" t="s">
        <v>55</v>
      </c>
      <c r="E250" t="s">
        <v>41</v>
      </c>
      <c r="F250" t="s">
        <v>26</v>
      </c>
      <c r="G250" t="s">
        <v>27</v>
      </c>
      <c r="H250" t="s">
        <v>48</v>
      </c>
      <c r="I250">
        <v>4</v>
      </c>
      <c r="J250">
        <v>35000</v>
      </c>
      <c r="K250">
        <v>21000</v>
      </c>
      <c r="L250">
        <v>9.7000000000000003E-2</v>
      </c>
      <c r="M250">
        <v>1</v>
      </c>
      <c r="N250">
        <v>12</v>
      </c>
      <c r="O250">
        <v>31605</v>
      </c>
      <c r="P250">
        <v>126420</v>
      </c>
      <c r="Q250">
        <v>84000</v>
      </c>
      <c r="R250">
        <v>42420</v>
      </c>
      <c r="S250">
        <v>33.6</v>
      </c>
      <c r="T250">
        <v>2.5000000000000001E-2</v>
      </c>
      <c r="U250">
        <v>3160.5</v>
      </c>
    </row>
    <row r="251" spans="1:21" x14ac:dyDescent="0.2">
      <c r="A251" t="s">
        <v>312</v>
      </c>
      <c r="B251" t="s">
        <v>54</v>
      </c>
      <c r="C251" t="s">
        <v>35</v>
      </c>
      <c r="D251" t="s">
        <v>55</v>
      </c>
      <c r="E251" t="s">
        <v>41</v>
      </c>
      <c r="F251" t="s">
        <v>26</v>
      </c>
      <c r="G251" t="s">
        <v>27</v>
      </c>
      <c r="H251" t="s">
        <v>59</v>
      </c>
      <c r="I251">
        <v>9</v>
      </c>
      <c r="J251">
        <v>35000</v>
      </c>
      <c r="K251">
        <v>21000</v>
      </c>
      <c r="L251">
        <v>0.13800000000000001</v>
      </c>
      <c r="M251">
        <v>1</v>
      </c>
      <c r="N251">
        <v>21</v>
      </c>
      <c r="O251">
        <v>30170</v>
      </c>
      <c r="P251">
        <v>271530</v>
      </c>
      <c r="Q251">
        <v>189000</v>
      </c>
      <c r="R251">
        <v>82530</v>
      </c>
      <c r="S251">
        <v>30.4</v>
      </c>
      <c r="T251">
        <v>2.5000000000000001E-2</v>
      </c>
      <c r="U251">
        <v>6788.25</v>
      </c>
    </row>
    <row r="252" spans="1:21" x14ac:dyDescent="0.2">
      <c r="A252" t="s">
        <v>313</v>
      </c>
      <c r="B252" t="s">
        <v>30</v>
      </c>
      <c r="C252" t="s">
        <v>44</v>
      </c>
      <c r="D252" t="s">
        <v>31</v>
      </c>
      <c r="E252" t="s">
        <v>25</v>
      </c>
      <c r="F252" t="s">
        <v>73</v>
      </c>
      <c r="G252" t="s">
        <v>74</v>
      </c>
      <c r="H252" t="s">
        <v>59</v>
      </c>
      <c r="I252">
        <v>10</v>
      </c>
      <c r="J252">
        <v>22000</v>
      </c>
      <c r="K252">
        <v>13200</v>
      </c>
      <c r="L252">
        <v>4.3999999999999997E-2</v>
      </c>
      <c r="M252">
        <v>1</v>
      </c>
      <c r="N252">
        <v>16</v>
      </c>
      <c r="O252">
        <v>21032</v>
      </c>
      <c r="P252">
        <v>210320</v>
      </c>
      <c r="Q252">
        <v>132000</v>
      </c>
      <c r="R252">
        <v>78320</v>
      </c>
      <c r="S252">
        <v>37.200000000000003</v>
      </c>
      <c r="T252">
        <v>0.06</v>
      </c>
      <c r="U252">
        <v>12619.2</v>
      </c>
    </row>
    <row r="253" spans="1:21" x14ac:dyDescent="0.2">
      <c r="A253" t="s">
        <v>314</v>
      </c>
      <c r="B253" t="s">
        <v>30</v>
      </c>
      <c r="C253" t="s">
        <v>23</v>
      </c>
      <c r="D253" t="s">
        <v>31</v>
      </c>
      <c r="E253" t="s">
        <v>25</v>
      </c>
      <c r="F253" t="s">
        <v>62</v>
      </c>
      <c r="G253" t="s">
        <v>57</v>
      </c>
      <c r="H253" t="s">
        <v>64</v>
      </c>
      <c r="I253">
        <v>2</v>
      </c>
      <c r="J253">
        <v>45000</v>
      </c>
      <c r="K253">
        <v>27000</v>
      </c>
      <c r="L253">
        <v>2.5999999999999999E-2</v>
      </c>
      <c r="M253">
        <v>1</v>
      </c>
      <c r="N253">
        <v>11</v>
      </c>
      <c r="O253">
        <v>43830</v>
      </c>
      <c r="P253">
        <v>87660</v>
      </c>
      <c r="Q253">
        <v>54000</v>
      </c>
      <c r="R253">
        <v>33660</v>
      </c>
      <c r="S253">
        <v>38.4</v>
      </c>
      <c r="T253">
        <v>0.06</v>
      </c>
      <c r="U253">
        <v>5259.6</v>
      </c>
    </row>
    <row r="254" spans="1:21" x14ac:dyDescent="0.2">
      <c r="A254" t="s">
        <v>315</v>
      </c>
      <c r="B254" t="s">
        <v>30</v>
      </c>
      <c r="C254" t="s">
        <v>35</v>
      </c>
      <c r="D254" t="s">
        <v>40</v>
      </c>
      <c r="E254" t="s">
        <v>41</v>
      </c>
      <c r="F254" t="s">
        <v>36</v>
      </c>
      <c r="G254" t="s">
        <v>37</v>
      </c>
      <c r="H254" t="s">
        <v>42</v>
      </c>
      <c r="I254">
        <v>8</v>
      </c>
      <c r="J254">
        <v>8500</v>
      </c>
      <c r="K254">
        <v>5100</v>
      </c>
      <c r="L254">
        <v>5.6000000000000001E-2</v>
      </c>
      <c r="M254">
        <v>1</v>
      </c>
      <c r="N254">
        <v>5</v>
      </c>
      <c r="O254">
        <v>8024</v>
      </c>
      <c r="P254">
        <v>64192</v>
      </c>
      <c r="Q254">
        <v>40800</v>
      </c>
      <c r="R254">
        <v>23392</v>
      </c>
      <c r="S254">
        <v>36.4</v>
      </c>
      <c r="T254">
        <v>2.5000000000000001E-2</v>
      </c>
      <c r="U254">
        <v>1604.8</v>
      </c>
    </row>
    <row r="255" spans="1:21" x14ac:dyDescent="0.2">
      <c r="A255" t="s">
        <v>316</v>
      </c>
      <c r="B255" t="s">
        <v>22</v>
      </c>
      <c r="C255" t="s">
        <v>50</v>
      </c>
      <c r="D255" t="s">
        <v>67</v>
      </c>
      <c r="E255" t="s">
        <v>41</v>
      </c>
      <c r="F255" t="s">
        <v>62</v>
      </c>
      <c r="G255" t="s">
        <v>57</v>
      </c>
      <c r="H255" t="s">
        <v>42</v>
      </c>
      <c r="I255">
        <v>1</v>
      </c>
      <c r="J255">
        <v>45000</v>
      </c>
      <c r="K255">
        <v>27000</v>
      </c>
      <c r="L255">
        <v>9.4E-2</v>
      </c>
      <c r="M255">
        <v>1</v>
      </c>
      <c r="N255">
        <v>8</v>
      </c>
      <c r="O255">
        <v>40770</v>
      </c>
      <c r="P255">
        <v>40770</v>
      </c>
      <c r="Q255">
        <v>27000</v>
      </c>
      <c r="R255">
        <v>13770</v>
      </c>
      <c r="S255">
        <v>33.799999999999997</v>
      </c>
      <c r="T255">
        <v>2.5000000000000001E-2</v>
      </c>
      <c r="U255">
        <v>1019.25</v>
      </c>
    </row>
    <row r="256" spans="1:21" x14ac:dyDescent="0.2">
      <c r="A256" t="s">
        <v>317</v>
      </c>
      <c r="B256" t="s">
        <v>22</v>
      </c>
      <c r="C256" t="s">
        <v>50</v>
      </c>
      <c r="D256" t="s">
        <v>45</v>
      </c>
      <c r="E256" t="s">
        <v>25</v>
      </c>
      <c r="F256" t="s">
        <v>56</v>
      </c>
      <c r="G256" t="s">
        <v>57</v>
      </c>
      <c r="H256" t="s">
        <v>70</v>
      </c>
      <c r="I256">
        <v>2</v>
      </c>
      <c r="J256">
        <v>180000</v>
      </c>
      <c r="K256">
        <v>108000</v>
      </c>
      <c r="L256">
        <v>5.8999999999999997E-2</v>
      </c>
      <c r="M256">
        <v>1</v>
      </c>
      <c r="N256">
        <v>22</v>
      </c>
      <c r="O256">
        <v>169380</v>
      </c>
      <c r="P256">
        <v>338760</v>
      </c>
      <c r="Q256">
        <v>216000</v>
      </c>
      <c r="R256">
        <v>122760</v>
      </c>
      <c r="S256">
        <v>36.200000000000003</v>
      </c>
      <c r="T256">
        <v>0.06</v>
      </c>
      <c r="U256">
        <v>20325.599999999999</v>
      </c>
    </row>
    <row r="257" spans="1:21" x14ac:dyDescent="0.2">
      <c r="A257" t="s">
        <v>318</v>
      </c>
      <c r="B257" t="s">
        <v>54</v>
      </c>
      <c r="C257" t="s">
        <v>23</v>
      </c>
      <c r="D257" t="s">
        <v>67</v>
      </c>
      <c r="E257" t="s">
        <v>41</v>
      </c>
      <c r="F257" t="s">
        <v>26</v>
      </c>
      <c r="G257" t="s">
        <v>27</v>
      </c>
      <c r="H257" t="s">
        <v>52</v>
      </c>
      <c r="I257">
        <v>7</v>
      </c>
      <c r="J257">
        <v>35000</v>
      </c>
      <c r="K257">
        <v>21000</v>
      </c>
      <c r="L257">
        <v>0.14799999999999999</v>
      </c>
      <c r="M257">
        <v>1</v>
      </c>
      <c r="N257">
        <v>10</v>
      </c>
      <c r="O257">
        <v>29820</v>
      </c>
      <c r="P257">
        <v>208740</v>
      </c>
      <c r="Q257">
        <v>147000</v>
      </c>
      <c r="R257">
        <v>61740</v>
      </c>
      <c r="S257">
        <v>29.6</v>
      </c>
      <c r="T257">
        <v>2.5000000000000001E-2</v>
      </c>
      <c r="U257">
        <v>5218.5</v>
      </c>
    </row>
    <row r="258" spans="1:21" x14ac:dyDescent="0.2">
      <c r="A258" t="s">
        <v>319</v>
      </c>
      <c r="B258" t="s">
        <v>30</v>
      </c>
      <c r="C258" t="s">
        <v>44</v>
      </c>
      <c r="D258" t="s">
        <v>67</v>
      </c>
      <c r="E258" t="s">
        <v>41</v>
      </c>
      <c r="F258" t="s">
        <v>26</v>
      </c>
      <c r="G258" t="s">
        <v>27</v>
      </c>
      <c r="H258" t="s">
        <v>70</v>
      </c>
      <c r="I258">
        <v>5</v>
      </c>
      <c r="J258">
        <v>35000</v>
      </c>
      <c r="K258">
        <v>21000</v>
      </c>
      <c r="L258">
        <v>4.0000000000000001E-3</v>
      </c>
      <c r="M258">
        <v>1</v>
      </c>
      <c r="N258">
        <v>14</v>
      </c>
      <c r="O258">
        <v>34860</v>
      </c>
      <c r="P258">
        <v>174300</v>
      </c>
      <c r="Q258">
        <v>105000</v>
      </c>
      <c r="R258">
        <v>69300</v>
      </c>
      <c r="S258">
        <v>39.799999999999997</v>
      </c>
      <c r="T258">
        <v>2.5000000000000001E-2</v>
      </c>
      <c r="U258">
        <v>4357.5</v>
      </c>
    </row>
    <row r="259" spans="1:21" x14ac:dyDescent="0.2">
      <c r="A259" t="s">
        <v>320</v>
      </c>
      <c r="B259" t="s">
        <v>22</v>
      </c>
      <c r="C259" t="s">
        <v>35</v>
      </c>
      <c r="D259" t="s">
        <v>67</v>
      </c>
      <c r="E259" t="s">
        <v>41</v>
      </c>
      <c r="F259" t="s">
        <v>26</v>
      </c>
      <c r="G259" t="s">
        <v>27</v>
      </c>
      <c r="H259" t="s">
        <v>52</v>
      </c>
      <c r="I259">
        <v>8</v>
      </c>
      <c r="J259">
        <v>35000</v>
      </c>
      <c r="K259">
        <v>21000</v>
      </c>
      <c r="L259">
        <v>3.6999999999999998E-2</v>
      </c>
      <c r="M259">
        <v>0</v>
      </c>
      <c r="N259">
        <v>44</v>
      </c>
      <c r="O259">
        <v>33705</v>
      </c>
      <c r="P259">
        <v>269640</v>
      </c>
      <c r="Q259">
        <v>168000</v>
      </c>
      <c r="R259">
        <v>101640</v>
      </c>
      <c r="S259">
        <v>37.700000000000003</v>
      </c>
      <c r="T259">
        <v>2.5000000000000001E-2</v>
      </c>
      <c r="U259">
        <v>6741</v>
      </c>
    </row>
    <row r="260" spans="1:21" x14ac:dyDescent="0.2">
      <c r="A260" t="s">
        <v>321</v>
      </c>
      <c r="B260" t="s">
        <v>30</v>
      </c>
      <c r="C260" t="s">
        <v>50</v>
      </c>
      <c r="D260" t="s">
        <v>40</v>
      </c>
      <c r="E260" t="s">
        <v>41</v>
      </c>
      <c r="F260" t="s">
        <v>73</v>
      </c>
      <c r="G260" t="s">
        <v>74</v>
      </c>
      <c r="H260" t="s">
        <v>48</v>
      </c>
      <c r="I260">
        <v>1</v>
      </c>
      <c r="J260">
        <v>22000</v>
      </c>
      <c r="K260">
        <v>13200</v>
      </c>
      <c r="L260">
        <v>6.6000000000000003E-2</v>
      </c>
      <c r="M260">
        <v>1</v>
      </c>
      <c r="N260">
        <v>20</v>
      </c>
      <c r="O260">
        <v>20548</v>
      </c>
      <c r="P260">
        <v>20548</v>
      </c>
      <c r="Q260">
        <v>13200</v>
      </c>
      <c r="R260">
        <v>7348</v>
      </c>
      <c r="S260">
        <v>35.799999999999997</v>
      </c>
      <c r="T260">
        <v>2.5000000000000001E-2</v>
      </c>
      <c r="U260">
        <v>513.70000000000005</v>
      </c>
    </row>
    <row r="261" spans="1:21" x14ac:dyDescent="0.2">
      <c r="A261" t="s">
        <v>322</v>
      </c>
      <c r="B261" t="s">
        <v>54</v>
      </c>
      <c r="C261" t="s">
        <v>81</v>
      </c>
      <c r="D261" t="s">
        <v>40</v>
      </c>
      <c r="E261" t="s">
        <v>41</v>
      </c>
      <c r="F261" t="s">
        <v>26</v>
      </c>
      <c r="G261" t="s">
        <v>27</v>
      </c>
      <c r="H261" t="s">
        <v>70</v>
      </c>
      <c r="I261">
        <v>8</v>
      </c>
      <c r="J261">
        <v>35000</v>
      </c>
      <c r="K261">
        <v>21000</v>
      </c>
      <c r="L261">
        <v>0.17100000000000001</v>
      </c>
      <c r="M261">
        <v>1</v>
      </c>
      <c r="N261">
        <v>44</v>
      </c>
      <c r="O261">
        <v>29015</v>
      </c>
      <c r="P261">
        <v>232120</v>
      </c>
      <c r="Q261">
        <v>168000</v>
      </c>
      <c r="R261">
        <v>64120</v>
      </c>
      <c r="S261">
        <v>27.6</v>
      </c>
      <c r="T261">
        <v>2.5000000000000001E-2</v>
      </c>
      <c r="U261">
        <v>5803</v>
      </c>
    </row>
    <row r="262" spans="1:21" x14ac:dyDescent="0.2">
      <c r="A262" t="s">
        <v>323</v>
      </c>
      <c r="B262" t="s">
        <v>34</v>
      </c>
      <c r="C262" t="s">
        <v>35</v>
      </c>
      <c r="D262" t="s">
        <v>40</v>
      </c>
      <c r="E262" t="s">
        <v>41</v>
      </c>
      <c r="F262" t="s">
        <v>62</v>
      </c>
      <c r="G262" t="s">
        <v>57</v>
      </c>
      <c r="H262" t="s">
        <v>48</v>
      </c>
      <c r="I262">
        <v>12</v>
      </c>
      <c r="J262">
        <v>45000</v>
      </c>
      <c r="K262">
        <v>27000</v>
      </c>
      <c r="L262">
        <v>9.1999999999999998E-2</v>
      </c>
      <c r="M262">
        <v>0</v>
      </c>
      <c r="N262">
        <v>5</v>
      </c>
      <c r="O262">
        <v>40860</v>
      </c>
      <c r="P262">
        <v>490320</v>
      </c>
      <c r="Q262">
        <v>324000</v>
      </c>
      <c r="R262">
        <v>166320</v>
      </c>
      <c r="S262">
        <v>33.9</v>
      </c>
      <c r="T262">
        <v>2.5000000000000001E-2</v>
      </c>
      <c r="U262">
        <v>12258</v>
      </c>
    </row>
    <row r="263" spans="1:21" x14ac:dyDescent="0.2">
      <c r="A263" t="s">
        <v>324</v>
      </c>
      <c r="B263" t="s">
        <v>30</v>
      </c>
      <c r="C263" t="s">
        <v>81</v>
      </c>
      <c r="D263" t="s">
        <v>55</v>
      </c>
      <c r="E263" t="s">
        <v>41</v>
      </c>
      <c r="F263" t="s">
        <v>56</v>
      </c>
      <c r="G263" t="s">
        <v>57</v>
      </c>
      <c r="H263" t="s">
        <v>52</v>
      </c>
      <c r="I263">
        <v>2</v>
      </c>
      <c r="J263">
        <v>180000</v>
      </c>
      <c r="K263">
        <v>108000</v>
      </c>
      <c r="L263">
        <v>3.5000000000000003E-2</v>
      </c>
      <c r="M263">
        <v>1</v>
      </c>
      <c r="N263">
        <v>14</v>
      </c>
      <c r="O263">
        <v>173700</v>
      </c>
      <c r="P263">
        <v>347400</v>
      </c>
      <c r="Q263">
        <v>216000</v>
      </c>
      <c r="R263">
        <v>131400</v>
      </c>
      <c r="S263">
        <v>37.799999999999997</v>
      </c>
      <c r="T263">
        <v>2.5000000000000001E-2</v>
      </c>
      <c r="U263">
        <v>8685</v>
      </c>
    </row>
    <row r="264" spans="1:21" x14ac:dyDescent="0.2">
      <c r="A264" t="s">
        <v>325</v>
      </c>
      <c r="B264" t="s">
        <v>30</v>
      </c>
      <c r="C264" t="s">
        <v>35</v>
      </c>
      <c r="D264" t="s">
        <v>83</v>
      </c>
      <c r="E264" t="s">
        <v>25</v>
      </c>
      <c r="F264" t="s">
        <v>73</v>
      </c>
      <c r="G264" t="s">
        <v>74</v>
      </c>
      <c r="H264" t="s">
        <v>64</v>
      </c>
      <c r="I264">
        <v>3</v>
      </c>
      <c r="J264">
        <v>22000</v>
      </c>
      <c r="K264">
        <v>13200</v>
      </c>
      <c r="L264">
        <v>5.6000000000000001E-2</v>
      </c>
      <c r="M264">
        <v>0</v>
      </c>
      <c r="N264">
        <v>26</v>
      </c>
      <c r="O264">
        <v>20768</v>
      </c>
      <c r="P264">
        <v>62304</v>
      </c>
      <c r="Q264">
        <v>39600</v>
      </c>
      <c r="R264">
        <v>22704</v>
      </c>
      <c r="S264">
        <v>36.4</v>
      </c>
      <c r="T264">
        <v>0.06</v>
      </c>
      <c r="U264">
        <v>3738.24</v>
      </c>
    </row>
    <row r="265" spans="1:21" x14ac:dyDescent="0.2">
      <c r="A265" t="s">
        <v>326</v>
      </c>
      <c r="B265" t="s">
        <v>30</v>
      </c>
      <c r="C265" t="s">
        <v>23</v>
      </c>
      <c r="D265" t="s">
        <v>31</v>
      </c>
      <c r="E265" t="s">
        <v>25</v>
      </c>
      <c r="F265" t="s">
        <v>56</v>
      </c>
      <c r="G265" t="s">
        <v>57</v>
      </c>
      <c r="H265" t="s">
        <v>52</v>
      </c>
      <c r="I265">
        <v>1</v>
      </c>
      <c r="J265">
        <v>180000</v>
      </c>
      <c r="K265">
        <v>108000</v>
      </c>
      <c r="L265">
        <v>5.0000000000000001E-3</v>
      </c>
      <c r="M265">
        <v>1</v>
      </c>
      <c r="N265">
        <v>4</v>
      </c>
      <c r="O265">
        <v>179100</v>
      </c>
      <c r="P265">
        <v>179100</v>
      </c>
      <c r="Q265">
        <v>108000</v>
      </c>
      <c r="R265">
        <v>71100</v>
      </c>
      <c r="S265">
        <v>39.700000000000003</v>
      </c>
      <c r="T265">
        <v>0.06</v>
      </c>
      <c r="U265">
        <v>10746</v>
      </c>
    </row>
    <row r="266" spans="1:21" x14ac:dyDescent="0.2">
      <c r="A266" t="s">
        <v>327</v>
      </c>
      <c r="B266" t="s">
        <v>54</v>
      </c>
      <c r="C266" t="s">
        <v>50</v>
      </c>
      <c r="D266" t="s">
        <v>31</v>
      </c>
      <c r="E266" t="s">
        <v>25</v>
      </c>
      <c r="F266" t="s">
        <v>86</v>
      </c>
      <c r="G266" t="s">
        <v>87</v>
      </c>
      <c r="H266" t="s">
        <v>48</v>
      </c>
      <c r="I266">
        <v>6</v>
      </c>
      <c r="J266">
        <v>28000</v>
      </c>
      <c r="K266">
        <v>16800</v>
      </c>
      <c r="L266">
        <v>1.4999999999999999E-2</v>
      </c>
      <c r="M266">
        <v>0</v>
      </c>
      <c r="N266">
        <v>29</v>
      </c>
      <c r="O266">
        <v>27580</v>
      </c>
      <c r="P266">
        <v>165480</v>
      </c>
      <c r="Q266">
        <v>100800</v>
      </c>
      <c r="R266">
        <v>64680</v>
      </c>
      <c r="S266">
        <v>39.1</v>
      </c>
      <c r="T266">
        <v>0.06</v>
      </c>
      <c r="U266">
        <v>9928.7999999999993</v>
      </c>
    </row>
    <row r="267" spans="1:21" x14ac:dyDescent="0.2">
      <c r="A267" t="s">
        <v>328</v>
      </c>
      <c r="B267" t="s">
        <v>34</v>
      </c>
      <c r="C267" t="s">
        <v>35</v>
      </c>
      <c r="D267" t="s">
        <v>24</v>
      </c>
      <c r="E267" t="s">
        <v>25</v>
      </c>
      <c r="F267" t="s">
        <v>56</v>
      </c>
      <c r="G267" t="s">
        <v>57</v>
      </c>
      <c r="H267" t="s">
        <v>59</v>
      </c>
      <c r="I267">
        <v>3</v>
      </c>
      <c r="J267">
        <v>180000</v>
      </c>
      <c r="K267">
        <v>108000</v>
      </c>
      <c r="L267">
        <v>3.4000000000000002E-2</v>
      </c>
      <c r="M267">
        <v>1</v>
      </c>
      <c r="N267">
        <v>29</v>
      </c>
      <c r="O267">
        <v>173880</v>
      </c>
      <c r="P267">
        <v>521640</v>
      </c>
      <c r="Q267">
        <v>324000</v>
      </c>
      <c r="R267">
        <v>197640</v>
      </c>
      <c r="S267">
        <v>37.9</v>
      </c>
      <c r="T267">
        <v>0.06</v>
      </c>
      <c r="U267">
        <v>31298.400000000001</v>
      </c>
    </row>
    <row r="268" spans="1:21" x14ac:dyDescent="0.2">
      <c r="A268" t="s">
        <v>329</v>
      </c>
      <c r="B268" t="s">
        <v>22</v>
      </c>
      <c r="C268" t="s">
        <v>50</v>
      </c>
      <c r="D268" t="s">
        <v>67</v>
      </c>
      <c r="E268" t="s">
        <v>41</v>
      </c>
      <c r="F268" t="s">
        <v>62</v>
      </c>
      <c r="G268" t="s">
        <v>57</v>
      </c>
      <c r="H268" t="s">
        <v>75</v>
      </c>
      <c r="I268">
        <v>14</v>
      </c>
      <c r="J268">
        <v>45000</v>
      </c>
      <c r="K268">
        <v>27000</v>
      </c>
      <c r="L268">
        <v>0.10299999999999999</v>
      </c>
      <c r="M268">
        <v>0</v>
      </c>
      <c r="N268">
        <v>21</v>
      </c>
      <c r="O268">
        <v>40365</v>
      </c>
      <c r="P268">
        <v>565110</v>
      </c>
      <c r="Q268">
        <v>378000</v>
      </c>
      <c r="R268">
        <v>187110</v>
      </c>
      <c r="S268">
        <v>33.1</v>
      </c>
      <c r="T268">
        <v>2.5000000000000001E-2</v>
      </c>
      <c r="U268">
        <v>14127.75</v>
      </c>
    </row>
    <row r="269" spans="1:21" x14ac:dyDescent="0.2">
      <c r="A269" t="s">
        <v>330</v>
      </c>
      <c r="B269" t="s">
        <v>30</v>
      </c>
      <c r="C269" t="s">
        <v>35</v>
      </c>
      <c r="D269" t="s">
        <v>31</v>
      </c>
      <c r="E269" t="s">
        <v>25</v>
      </c>
      <c r="F269" t="s">
        <v>26</v>
      </c>
      <c r="G269" t="s">
        <v>27</v>
      </c>
      <c r="H269" t="s">
        <v>70</v>
      </c>
      <c r="I269">
        <v>3</v>
      </c>
      <c r="J269">
        <v>35000</v>
      </c>
      <c r="K269">
        <v>21000</v>
      </c>
      <c r="L269">
        <v>7.4999999999999997E-2</v>
      </c>
      <c r="M269">
        <v>1</v>
      </c>
      <c r="N269">
        <v>29</v>
      </c>
      <c r="O269">
        <v>32375</v>
      </c>
      <c r="P269">
        <v>97125</v>
      </c>
      <c r="Q269">
        <v>63000</v>
      </c>
      <c r="R269">
        <v>34125</v>
      </c>
      <c r="S269">
        <v>35.1</v>
      </c>
      <c r="T269">
        <v>0.06</v>
      </c>
      <c r="U269">
        <v>5827.5</v>
      </c>
    </row>
    <row r="270" spans="1:21" x14ac:dyDescent="0.2">
      <c r="A270" t="s">
        <v>331</v>
      </c>
      <c r="B270" t="s">
        <v>30</v>
      </c>
      <c r="C270" t="s">
        <v>35</v>
      </c>
      <c r="D270" t="s">
        <v>55</v>
      </c>
      <c r="E270" t="s">
        <v>41</v>
      </c>
      <c r="F270" t="s">
        <v>51</v>
      </c>
      <c r="G270" t="s">
        <v>37</v>
      </c>
      <c r="H270" t="s">
        <v>42</v>
      </c>
      <c r="I270">
        <v>13</v>
      </c>
      <c r="J270">
        <v>32000</v>
      </c>
      <c r="K270">
        <v>19200</v>
      </c>
      <c r="L270">
        <v>0.13</v>
      </c>
      <c r="M270">
        <v>1</v>
      </c>
      <c r="N270">
        <v>38</v>
      </c>
      <c r="O270">
        <v>27840</v>
      </c>
      <c r="P270">
        <v>361920</v>
      </c>
      <c r="Q270">
        <v>249600</v>
      </c>
      <c r="R270">
        <v>112320</v>
      </c>
      <c r="S270">
        <v>31</v>
      </c>
      <c r="T270">
        <v>2.5000000000000001E-2</v>
      </c>
      <c r="U270">
        <v>9048</v>
      </c>
    </row>
    <row r="271" spans="1:21" x14ac:dyDescent="0.2">
      <c r="A271" t="s">
        <v>332</v>
      </c>
      <c r="B271" t="s">
        <v>34</v>
      </c>
      <c r="C271" t="s">
        <v>35</v>
      </c>
      <c r="D271" t="s">
        <v>40</v>
      </c>
      <c r="E271" t="s">
        <v>41</v>
      </c>
      <c r="F271" t="s">
        <v>86</v>
      </c>
      <c r="G271" t="s">
        <v>87</v>
      </c>
      <c r="H271" t="s">
        <v>70</v>
      </c>
      <c r="I271">
        <v>9</v>
      </c>
      <c r="J271">
        <v>28000</v>
      </c>
      <c r="K271">
        <v>16800</v>
      </c>
      <c r="L271">
        <v>5.8999999999999997E-2</v>
      </c>
      <c r="M271">
        <v>1</v>
      </c>
      <c r="N271">
        <v>11</v>
      </c>
      <c r="O271">
        <v>26348</v>
      </c>
      <c r="P271">
        <v>237132</v>
      </c>
      <c r="Q271">
        <v>151200</v>
      </c>
      <c r="R271">
        <v>85932</v>
      </c>
      <c r="S271">
        <v>36.200000000000003</v>
      </c>
      <c r="T271">
        <v>2.5000000000000001E-2</v>
      </c>
      <c r="U271">
        <v>5928.3</v>
      </c>
    </row>
    <row r="272" spans="1:21" x14ac:dyDescent="0.2">
      <c r="A272" t="s">
        <v>333</v>
      </c>
      <c r="B272" t="s">
        <v>54</v>
      </c>
      <c r="C272" t="s">
        <v>23</v>
      </c>
      <c r="D272" t="s">
        <v>55</v>
      </c>
      <c r="E272" t="s">
        <v>41</v>
      </c>
      <c r="F272" t="s">
        <v>26</v>
      </c>
      <c r="G272" t="s">
        <v>27</v>
      </c>
      <c r="H272" t="s">
        <v>32</v>
      </c>
      <c r="I272">
        <v>8</v>
      </c>
      <c r="J272">
        <v>35000</v>
      </c>
      <c r="K272">
        <v>21000</v>
      </c>
      <c r="L272">
        <v>0.151</v>
      </c>
      <c r="M272">
        <v>0</v>
      </c>
      <c r="N272">
        <v>44</v>
      </c>
      <c r="O272">
        <v>29715</v>
      </c>
      <c r="P272">
        <v>237720</v>
      </c>
      <c r="Q272">
        <v>168000</v>
      </c>
      <c r="R272">
        <v>69720</v>
      </c>
      <c r="S272">
        <v>29.3</v>
      </c>
      <c r="T272">
        <v>2.5000000000000001E-2</v>
      </c>
      <c r="U272">
        <v>5943</v>
      </c>
    </row>
    <row r="273" spans="1:21" x14ac:dyDescent="0.2">
      <c r="A273" t="s">
        <v>334</v>
      </c>
      <c r="B273" t="s">
        <v>34</v>
      </c>
      <c r="C273" t="s">
        <v>50</v>
      </c>
      <c r="D273" t="s">
        <v>55</v>
      </c>
      <c r="E273" t="s">
        <v>41</v>
      </c>
      <c r="F273" t="s">
        <v>46</v>
      </c>
      <c r="G273" t="s">
        <v>47</v>
      </c>
      <c r="H273" t="s">
        <v>28</v>
      </c>
      <c r="I273">
        <v>6</v>
      </c>
      <c r="J273">
        <v>95000</v>
      </c>
      <c r="K273">
        <v>57000</v>
      </c>
      <c r="L273">
        <v>3.5999999999999997E-2</v>
      </c>
      <c r="M273">
        <v>1</v>
      </c>
      <c r="N273">
        <v>42</v>
      </c>
      <c r="O273">
        <v>91580</v>
      </c>
      <c r="P273">
        <v>549480</v>
      </c>
      <c r="Q273">
        <v>342000</v>
      </c>
      <c r="R273">
        <v>207480</v>
      </c>
      <c r="S273">
        <v>37.799999999999997</v>
      </c>
      <c r="T273">
        <v>2.5000000000000001E-2</v>
      </c>
      <c r="U273">
        <v>13737</v>
      </c>
    </row>
    <row r="274" spans="1:21" x14ac:dyDescent="0.2">
      <c r="A274" t="s">
        <v>335</v>
      </c>
      <c r="B274" t="s">
        <v>34</v>
      </c>
      <c r="C274" t="s">
        <v>44</v>
      </c>
      <c r="D274" t="s">
        <v>45</v>
      </c>
      <c r="E274" t="s">
        <v>25</v>
      </c>
      <c r="F274" t="s">
        <v>56</v>
      </c>
      <c r="G274" t="s">
        <v>57</v>
      </c>
      <c r="H274" t="s">
        <v>70</v>
      </c>
      <c r="I274">
        <v>5</v>
      </c>
      <c r="J274">
        <v>180000</v>
      </c>
      <c r="K274">
        <v>108000</v>
      </c>
      <c r="L274">
        <v>6.6000000000000003E-2</v>
      </c>
      <c r="M274">
        <v>1</v>
      </c>
      <c r="N274">
        <v>16</v>
      </c>
      <c r="O274">
        <v>168120</v>
      </c>
      <c r="P274">
        <v>840600</v>
      </c>
      <c r="Q274">
        <v>540000</v>
      </c>
      <c r="R274">
        <v>300600</v>
      </c>
      <c r="S274">
        <v>35.799999999999997</v>
      </c>
      <c r="T274">
        <v>0.06</v>
      </c>
      <c r="U274">
        <v>50436</v>
      </c>
    </row>
    <row r="275" spans="1:21" x14ac:dyDescent="0.2">
      <c r="A275" t="s">
        <v>336</v>
      </c>
      <c r="B275" t="s">
        <v>54</v>
      </c>
      <c r="C275" t="s">
        <v>50</v>
      </c>
      <c r="D275" t="s">
        <v>67</v>
      </c>
      <c r="E275" t="s">
        <v>41</v>
      </c>
      <c r="F275" t="s">
        <v>86</v>
      </c>
      <c r="G275" t="s">
        <v>87</v>
      </c>
      <c r="H275" t="s">
        <v>52</v>
      </c>
      <c r="I275">
        <v>13</v>
      </c>
      <c r="J275">
        <v>28000</v>
      </c>
      <c r="K275">
        <v>16800</v>
      </c>
      <c r="L275">
        <v>0.192</v>
      </c>
      <c r="M275">
        <v>0</v>
      </c>
      <c r="N275">
        <v>28</v>
      </c>
      <c r="O275">
        <v>22624</v>
      </c>
      <c r="P275">
        <v>294112</v>
      </c>
      <c r="Q275">
        <v>218400</v>
      </c>
      <c r="R275">
        <v>75712</v>
      </c>
      <c r="S275">
        <v>25.7</v>
      </c>
      <c r="T275">
        <v>2.5000000000000001E-2</v>
      </c>
      <c r="U275">
        <v>7352.8</v>
      </c>
    </row>
    <row r="276" spans="1:21" x14ac:dyDescent="0.2">
      <c r="A276" t="s">
        <v>337</v>
      </c>
      <c r="B276" t="s">
        <v>34</v>
      </c>
      <c r="C276" t="s">
        <v>35</v>
      </c>
      <c r="D276" t="s">
        <v>67</v>
      </c>
      <c r="E276" t="s">
        <v>41</v>
      </c>
      <c r="F276" t="s">
        <v>73</v>
      </c>
      <c r="G276" t="s">
        <v>74</v>
      </c>
      <c r="H276" t="s">
        <v>48</v>
      </c>
      <c r="I276">
        <v>3</v>
      </c>
      <c r="J276">
        <v>22000</v>
      </c>
      <c r="K276">
        <v>13200</v>
      </c>
      <c r="L276">
        <v>3.1E-2</v>
      </c>
      <c r="M276">
        <v>0</v>
      </c>
      <c r="N276">
        <v>13</v>
      </c>
      <c r="O276">
        <v>21318</v>
      </c>
      <c r="P276">
        <v>63954</v>
      </c>
      <c r="Q276">
        <v>39600</v>
      </c>
      <c r="R276">
        <v>24354</v>
      </c>
      <c r="S276">
        <v>38.1</v>
      </c>
      <c r="T276">
        <v>2.5000000000000001E-2</v>
      </c>
      <c r="U276">
        <v>1598.85</v>
      </c>
    </row>
    <row r="277" spans="1:21" x14ac:dyDescent="0.2">
      <c r="A277" t="s">
        <v>338</v>
      </c>
      <c r="B277" t="s">
        <v>54</v>
      </c>
      <c r="C277" t="s">
        <v>50</v>
      </c>
      <c r="D277" t="s">
        <v>67</v>
      </c>
      <c r="E277" t="s">
        <v>41</v>
      </c>
      <c r="F277" t="s">
        <v>73</v>
      </c>
      <c r="G277" t="s">
        <v>74</v>
      </c>
      <c r="H277" t="s">
        <v>59</v>
      </c>
      <c r="I277">
        <v>7</v>
      </c>
      <c r="J277">
        <v>22000</v>
      </c>
      <c r="K277">
        <v>13200</v>
      </c>
      <c r="L277">
        <v>6.6000000000000003E-2</v>
      </c>
      <c r="M277">
        <v>1</v>
      </c>
      <c r="N277">
        <v>40</v>
      </c>
      <c r="O277">
        <v>20548</v>
      </c>
      <c r="P277">
        <v>143836</v>
      </c>
      <c r="Q277">
        <v>92400</v>
      </c>
      <c r="R277">
        <v>51436</v>
      </c>
      <c r="S277">
        <v>35.799999999999997</v>
      </c>
      <c r="T277">
        <v>2.5000000000000001E-2</v>
      </c>
      <c r="U277">
        <v>3595.9</v>
      </c>
    </row>
    <row r="278" spans="1:21" x14ac:dyDescent="0.2">
      <c r="A278" t="s">
        <v>339</v>
      </c>
      <c r="B278" t="s">
        <v>22</v>
      </c>
      <c r="C278" t="s">
        <v>50</v>
      </c>
      <c r="D278" t="s">
        <v>24</v>
      </c>
      <c r="E278" t="s">
        <v>25</v>
      </c>
      <c r="F278" t="s">
        <v>36</v>
      </c>
      <c r="G278" t="s">
        <v>37</v>
      </c>
      <c r="H278" t="s">
        <v>38</v>
      </c>
      <c r="I278">
        <v>5</v>
      </c>
      <c r="J278">
        <v>8500</v>
      </c>
      <c r="K278">
        <v>5100</v>
      </c>
      <c r="L278">
        <v>3.4000000000000002E-2</v>
      </c>
      <c r="M278">
        <v>1</v>
      </c>
      <c r="N278">
        <v>21</v>
      </c>
      <c r="O278">
        <v>8211</v>
      </c>
      <c r="P278">
        <v>41055</v>
      </c>
      <c r="Q278">
        <v>25500</v>
      </c>
      <c r="R278">
        <v>15555</v>
      </c>
      <c r="S278">
        <v>37.9</v>
      </c>
      <c r="T278">
        <v>0.06</v>
      </c>
      <c r="U278">
        <v>2463.3000000000002</v>
      </c>
    </row>
    <row r="279" spans="1:21" x14ac:dyDescent="0.2">
      <c r="A279" t="s">
        <v>340</v>
      </c>
      <c r="B279" t="s">
        <v>30</v>
      </c>
      <c r="C279" t="s">
        <v>35</v>
      </c>
      <c r="D279" t="s">
        <v>55</v>
      </c>
      <c r="E279" t="s">
        <v>41</v>
      </c>
      <c r="F279" t="s">
        <v>86</v>
      </c>
      <c r="G279" t="s">
        <v>87</v>
      </c>
      <c r="H279" t="s">
        <v>64</v>
      </c>
      <c r="I279">
        <v>4</v>
      </c>
      <c r="J279">
        <v>28000</v>
      </c>
      <c r="K279">
        <v>16800</v>
      </c>
      <c r="L279">
        <v>0.17699999999999999</v>
      </c>
      <c r="M279">
        <v>1</v>
      </c>
      <c r="N279">
        <v>29</v>
      </c>
      <c r="O279">
        <v>23044</v>
      </c>
      <c r="P279">
        <v>92176</v>
      </c>
      <c r="Q279">
        <v>67200</v>
      </c>
      <c r="R279">
        <v>24976</v>
      </c>
      <c r="S279">
        <v>27.1</v>
      </c>
      <c r="T279">
        <v>2.5000000000000001E-2</v>
      </c>
      <c r="U279">
        <v>2304.4</v>
      </c>
    </row>
    <row r="280" spans="1:21" x14ac:dyDescent="0.2">
      <c r="A280" t="s">
        <v>341</v>
      </c>
      <c r="B280" t="s">
        <v>22</v>
      </c>
      <c r="C280" t="s">
        <v>44</v>
      </c>
      <c r="D280" t="s">
        <v>40</v>
      </c>
      <c r="E280" t="s">
        <v>41</v>
      </c>
      <c r="F280" t="s">
        <v>46</v>
      </c>
      <c r="G280" t="s">
        <v>47</v>
      </c>
      <c r="H280" t="s">
        <v>48</v>
      </c>
      <c r="I280">
        <v>2</v>
      </c>
      <c r="J280">
        <v>95000</v>
      </c>
      <c r="K280">
        <v>57000</v>
      </c>
      <c r="L280">
        <v>0.187</v>
      </c>
      <c r="M280">
        <v>1</v>
      </c>
      <c r="N280">
        <v>43</v>
      </c>
      <c r="O280">
        <v>77235</v>
      </c>
      <c r="P280">
        <v>154470</v>
      </c>
      <c r="Q280">
        <v>114000</v>
      </c>
      <c r="R280">
        <v>40470</v>
      </c>
      <c r="S280">
        <v>26.2</v>
      </c>
      <c r="T280">
        <v>2.5000000000000001E-2</v>
      </c>
      <c r="U280">
        <v>3861.75</v>
      </c>
    </row>
    <row r="281" spans="1:21" x14ac:dyDescent="0.2">
      <c r="A281" t="s">
        <v>342</v>
      </c>
      <c r="B281" t="s">
        <v>30</v>
      </c>
      <c r="C281" t="s">
        <v>81</v>
      </c>
      <c r="D281" t="s">
        <v>31</v>
      </c>
      <c r="E281" t="s">
        <v>25</v>
      </c>
      <c r="F281" t="s">
        <v>62</v>
      </c>
      <c r="G281" t="s">
        <v>57</v>
      </c>
      <c r="H281" t="s">
        <v>75</v>
      </c>
      <c r="I281">
        <v>12</v>
      </c>
      <c r="J281">
        <v>45000</v>
      </c>
      <c r="K281">
        <v>27000</v>
      </c>
      <c r="L281">
        <v>6.2E-2</v>
      </c>
      <c r="M281">
        <v>1</v>
      </c>
      <c r="N281">
        <v>21</v>
      </c>
      <c r="O281">
        <v>42210</v>
      </c>
      <c r="P281">
        <v>506520</v>
      </c>
      <c r="Q281">
        <v>324000</v>
      </c>
      <c r="R281">
        <v>182520</v>
      </c>
      <c r="S281">
        <v>36</v>
      </c>
      <c r="T281">
        <v>0.06</v>
      </c>
      <c r="U281">
        <v>30391.200000000001</v>
      </c>
    </row>
    <row r="282" spans="1:21" x14ac:dyDescent="0.2">
      <c r="A282" t="s">
        <v>343</v>
      </c>
      <c r="B282" t="s">
        <v>34</v>
      </c>
      <c r="C282" t="s">
        <v>35</v>
      </c>
      <c r="D282" t="s">
        <v>55</v>
      </c>
      <c r="E282" t="s">
        <v>41</v>
      </c>
      <c r="F282" t="s">
        <v>56</v>
      </c>
      <c r="G282" t="s">
        <v>57</v>
      </c>
      <c r="H282" t="s">
        <v>38</v>
      </c>
      <c r="I282">
        <v>8</v>
      </c>
      <c r="J282">
        <v>180000</v>
      </c>
      <c r="K282">
        <v>108000</v>
      </c>
      <c r="L282">
        <v>3.3000000000000002E-2</v>
      </c>
      <c r="M282">
        <v>1</v>
      </c>
      <c r="N282">
        <v>34</v>
      </c>
      <c r="O282">
        <v>174060</v>
      </c>
      <c r="P282">
        <v>1392480</v>
      </c>
      <c r="Q282">
        <v>864000</v>
      </c>
      <c r="R282">
        <v>528480</v>
      </c>
      <c r="S282">
        <v>38</v>
      </c>
      <c r="T282">
        <v>2.5000000000000001E-2</v>
      </c>
      <c r="U282">
        <v>34812</v>
      </c>
    </row>
    <row r="283" spans="1:21" x14ac:dyDescent="0.2">
      <c r="A283" t="s">
        <v>344</v>
      </c>
      <c r="B283" t="s">
        <v>30</v>
      </c>
      <c r="C283" t="s">
        <v>35</v>
      </c>
      <c r="D283" t="s">
        <v>31</v>
      </c>
      <c r="E283" t="s">
        <v>25</v>
      </c>
      <c r="F283" t="s">
        <v>46</v>
      </c>
      <c r="G283" t="s">
        <v>47</v>
      </c>
      <c r="H283" t="s">
        <v>75</v>
      </c>
      <c r="I283">
        <v>7</v>
      </c>
      <c r="J283">
        <v>95000</v>
      </c>
      <c r="K283">
        <v>57000</v>
      </c>
      <c r="L283">
        <v>1.4E-2</v>
      </c>
      <c r="M283">
        <v>1</v>
      </c>
      <c r="N283">
        <v>4</v>
      </c>
      <c r="O283">
        <v>93670</v>
      </c>
      <c r="P283">
        <v>655690</v>
      </c>
      <c r="Q283">
        <v>399000</v>
      </c>
      <c r="R283">
        <v>256690</v>
      </c>
      <c r="S283">
        <v>39.1</v>
      </c>
      <c r="T283">
        <v>0.06</v>
      </c>
      <c r="U283">
        <v>39341.4</v>
      </c>
    </row>
    <row r="284" spans="1:21" x14ac:dyDescent="0.2">
      <c r="A284" t="s">
        <v>345</v>
      </c>
      <c r="B284" t="s">
        <v>34</v>
      </c>
      <c r="C284" t="s">
        <v>50</v>
      </c>
      <c r="D284" t="s">
        <v>67</v>
      </c>
      <c r="E284" t="s">
        <v>41</v>
      </c>
      <c r="F284" t="s">
        <v>86</v>
      </c>
      <c r="G284" t="s">
        <v>87</v>
      </c>
      <c r="H284" t="s">
        <v>48</v>
      </c>
      <c r="I284">
        <v>14</v>
      </c>
      <c r="J284">
        <v>28000</v>
      </c>
      <c r="K284">
        <v>16800</v>
      </c>
      <c r="L284">
        <v>0.182</v>
      </c>
      <c r="M284">
        <v>1</v>
      </c>
      <c r="N284">
        <v>18</v>
      </c>
      <c r="O284">
        <v>22904</v>
      </c>
      <c r="P284">
        <v>320656</v>
      </c>
      <c r="Q284">
        <v>235200</v>
      </c>
      <c r="R284">
        <v>85456</v>
      </c>
      <c r="S284">
        <v>26.7</v>
      </c>
      <c r="T284">
        <v>2.5000000000000001E-2</v>
      </c>
      <c r="U284">
        <v>8016.4</v>
      </c>
    </row>
    <row r="285" spans="1:21" x14ac:dyDescent="0.2">
      <c r="A285" t="s">
        <v>346</v>
      </c>
      <c r="B285" t="s">
        <v>54</v>
      </c>
      <c r="C285" t="s">
        <v>35</v>
      </c>
      <c r="D285" t="s">
        <v>55</v>
      </c>
      <c r="E285" t="s">
        <v>41</v>
      </c>
      <c r="F285" t="s">
        <v>86</v>
      </c>
      <c r="G285" t="s">
        <v>87</v>
      </c>
      <c r="H285" t="s">
        <v>28</v>
      </c>
      <c r="I285">
        <v>4</v>
      </c>
      <c r="J285">
        <v>28000</v>
      </c>
      <c r="K285">
        <v>16800</v>
      </c>
      <c r="L285">
        <v>0.14799999999999999</v>
      </c>
      <c r="M285">
        <v>1</v>
      </c>
      <c r="N285">
        <v>23</v>
      </c>
      <c r="O285">
        <v>23856</v>
      </c>
      <c r="P285">
        <v>95424</v>
      </c>
      <c r="Q285">
        <v>67200</v>
      </c>
      <c r="R285">
        <v>28224</v>
      </c>
      <c r="S285">
        <v>29.6</v>
      </c>
      <c r="T285">
        <v>2.5000000000000001E-2</v>
      </c>
      <c r="U285">
        <v>2385.6</v>
      </c>
    </row>
    <row r="286" spans="1:21" x14ac:dyDescent="0.2">
      <c r="A286" t="s">
        <v>347</v>
      </c>
      <c r="B286" t="s">
        <v>34</v>
      </c>
      <c r="C286" t="s">
        <v>81</v>
      </c>
      <c r="D286" t="s">
        <v>45</v>
      </c>
      <c r="E286" t="s">
        <v>25</v>
      </c>
      <c r="F286" t="s">
        <v>36</v>
      </c>
      <c r="G286" t="s">
        <v>37</v>
      </c>
      <c r="H286" t="s">
        <v>70</v>
      </c>
      <c r="I286">
        <v>8</v>
      </c>
      <c r="J286">
        <v>8500</v>
      </c>
      <c r="K286">
        <v>5100</v>
      </c>
      <c r="L286">
        <v>2.8000000000000001E-2</v>
      </c>
      <c r="M286">
        <v>1</v>
      </c>
      <c r="N286">
        <v>18</v>
      </c>
      <c r="O286">
        <v>8262</v>
      </c>
      <c r="P286">
        <v>66096</v>
      </c>
      <c r="Q286">
        <v>40800</v>
      </c>
      <c r="R286">
        <v>25296</v>
      </c>
      <c r="S286">
        <v>38.299999999999997</v>
      </c>
      <c r="T286">
        <v>0.06</v>
      </c>
      <c r="U286">
        <v>3965.76</v>
      </c>
    </row>
    <row r="287" spans="1:21" x14ac:dyDescent="0.2">
      <c r="A287" t="s">
        <v>348</v>
      </c>
      <c r="B287" t="s">
        <v>30</v>
      </c>
      <c r="C287" t="s">
        <v>35</v>
      </c>
      <c r="D287" t="s">
        <v>31</v>
      </c>
      <c r="E287" t="s">
        <v>25</v>
      </c>
      <c r="F287" t="s">
        <v>56</v>
      </c>
      <c r="G287" t="s">
        <v>57</v>
      </c>
      <c r="H287" t="s">
        <v>32</v>
      </c>
      <c r="I287">
        <v>9</v>
      </c>
      <c r="J287">
        <v>180000</v>
      </c>
      <c r="K287">
        <v>108000</v>
      </c>
      <c r="L287">
        <v>1.7000000000000001E-2</v>
      </c>
      <c r="M287">
        <v>1</v>
      </c>
      <c r="N287">
        <v>3</v>
      </c>
      <c r="O287">
        <v>176940</v>
      </c>
      <c r="P287">
        <v>1592460</v>
      </c>
      <c r="Q287">
        <v>972000</v>
      </c>
      <c r="R287">
        <v>620460</v>
      </c>
      <c r="S287">
        <v>39</v>
      </c>
      <c r="T287">
        <v>0.06</v>
      </c>
      <c r="U287">
        <v>95547.6</v>
      </c>
    </row>
    <row r="288" spans="1:21" x14ac:dyDescent="0.2">
      <c r="A288" t="s">
        <v>349</v>
      </c>
      <c r="B288" t="s">
        <v>54</v>
      </c>
      <c r="C288" t="s">
        <v>35</v>
      </c>
      <c r="D288" t="s">
        <v>67</v>
      </c>
      <c r="E288" t="s">
        <v>41</v>
      </c>
      <c r="F288" t="s">
        <v>56</v>
      </c>
      <c r="G288" t="s">
        <v>57</v>
      </c>
      <c r="H288" t="s">
        <v>52</v>
      </c>
      <c r="I288">
        <v>11</v>
      </c>
      <c r="J288">
        <v>180000</v>
      </c>
      <c r="K288">
        <v>108000</v>
      </c>
      <c r="L288">
        <v>0.108</v>
      </c>
      <c r="M288">
        <v>1</v>
      </c>
      <c r="N288">
        <v>24</v>
      </c>
      <c r="O288">
        <v>160560</v>
      </c>
      <c r="P288">
        <v>1766160</v>
      </c>
      <c r="Q288">
        <v>1188000</v>
      </c>
      <c r="R288">
        <v>578160</v>
      </c>
      <c r="S288">
        <v>32.700000000000003</v>
      </c>
      <c r="T288">
        <v>2.5000000000000001E-2</v>
      </c>
      <c r="U288">
        <v>44154</v>
      </c>
    </row>
    <row r="289" spans="1:21" x14ac:dyDescent="0.2">
      <c r="A289" t="s">
        <v>350</v>
      </c>
      <c r="B289" t="s">
        <v>30</v>
      </c>
      <c r="C289" t="s">
        <v>50</v>
      </c>
      <c r="D289" t="s">
        <v>67</v>
      </c>
      <c r="E289" t="s">
        <v>41</v>
      </c>
      <c r="F289" t="s">
        <v>62</v>
      </c>
      <c r="G289" t="s">
        <v>57</v>
      </c>
      <c r="H289" t="s">
        <v>48</v>
      </c>
      <c r="I289">
        <v>6</v>
      </c>
      <c r="J289">
        <v>45000</v>
      </c>
      <c r="K289">
        <v>27000</v>
      </c>
      <c r="L289">
        <v>0.14599999999999999</v>
      </c>
      <c r="M289">
        <v>1</v>
      </c>
      <c r="N289">
        <v>27</v>
      </c>
      <c r="O289">
        <v>38430</v>
      </c>
      <c r="P289">
        <v>230580</v>
      </c>
      <c r="Q289">
        <v>162000</v>
      </c>
      <c r="R289">
        <v>68580</v>
      </c>
      <c r="S289">
        <v>29.7</v>
      </c>
      <c r="T289">
        <v>2.5000000000000001E-2</v>
      </c>
      <c r="U289">
        <v>5764.5</v>
      </c>
    </row>
    <row r="290" spans="1:21" x14ac:dyDescent="0.2">
      <c r="A290" t="s">
        <v>351</v>
      </c>
      <c r="B290" t="s">
        <v>22</v>
      </c>
      <c r="C290" t="s">
        <v>50</v>
      </c>
      <c r="D290" t="s">
        <v>55</v>
      </c>
      <c r="E290" t="s">
        <v>41</v>
      </c>
      <c r="F290" t="s">
        <v>36</v>
      </c>
      <c r="G290" t="s">
        <v>37</v>
      </c>
      <c r="H290" t="s">
        <v>75</v>
      </c>
      <c r="I290">
        <v>7</v>
      </c>
      <c r="J290">
        <v>8500</v>
      </c>
      <c r="K290">
        <v>5100</v>
      </c>
      <c r="L290">
        <v>0.12</v>
      </c>
      <c r="M290">
        <v>1</v>
      </c>
      <c r="N290">
        <v>27</v>
      </c>
      <c r="O290">
        <v>7480</v>
      </c>
      <c r="P290">
        <v>52360</v>
      </c>
      <c r="Q290">
        <v>35700</v>
      </c>
      <c r="R290">
        <v>16660</v>
      </c>
      <c r="S290">
        <v>31.8</v>
      </c>
      <c r="T290">
        <v>2.5000000000000001E-2</v>
      </c>
      <c r="U290">
        <v>1309</v>
      </c>
    </row>
    <row r="291" spans="1:21" x14ac:dyDescent="0.2">
      <c r="A291" t="s">
        <v>352</v>
      </c>
      <c r="B291" t="s">
        <v>34</v>
      </c>
      <c r="C291" t="s">
        <v>50</v>
      </c>
      <c r="D291" t="s">
        <v>55</v>
      </c>
      <c r="E291" t="s">
        <v>41</v>
      </c>
      <c r="F291" t="s">
        <v>86</v>
      </c>
      <c r="G291" t="s">
        <v>87</v>
      </c>
      <c r="H291" t="s">
        <v>32</v>
      </c>
      <c r="I291">
        <v>5</v>
      </c>
      <c r="J291">
        <v>28000</v>
      </c>
      <c r="K291">
        <v>16800</v>
      </c>
      <c r="L291">
        <v>0.16</v>
      </c>
      <c r="M291">
        <v>1</v>
      </c>
      <c r="N291">
        <v>22</v>
      </c>
      <c r="O291">
        <v>23520</v>
      </c>
      <c r="P291">
        <v>117600</v>
      </c>
      <c r="Q291">
        <v>84000</v>
      </c>
      <c r="R291">
        <v>33600</v>
      </c>
      <c r="S291">
        <v>28.6</v>
      </c>
      <c r="T291">
        <v>2.5000000000000001E-2</v>
      </c>
      <c r="U291">
        <v>2940</v>
      </c>
    </row>
    <row r="292" spans="1:21" x14ac:dyDescent="0.2">
      <c r="A292" t="s">
        <v>353</v>
      </c>
      <c r="B292" t="s">
        <v>34</v>
      </c>
      <c r="C292" t="s">
        <v>23</v>
      </c>
      <c r="D292" t="s">
        <v>55</v>
      </c>
      <c r="E292" t="s">
        <v>41</v>
      </c>
      <c r="F292" t="s">
        <v>73</v>
      </c>
      <c r="G292" t="s">
        <v>74</v>
      </c>
      <c r="H292" t="s">
        <v>42</v>
      </c>
      <c r="I292">
        <v>6</v>
      </c>
      <c r="J292">
        <v>22000</v>
      </c>
      <c r="K292">
        <v>13200</v>
      </c>
      <c r="L292">
        <v>0.17199999999999999</v>
      </c>
      <c r="M292">
        <v>1</v>
      </c>
      <c r="N292">
        <v>35</v>
      </c>
      <c r="O292">
        <v>18216</v>
      </c>
      <c r="P292">
        <v>109296</v>
      </c>
      <c r="Q292">
        <v>79200</v>
      </c>
      <c r="R292">
        <v>30096</v>
      </c>
      <c r="S292">
        <v>27.5</v>
      </c>
      <c r="T292">
        <v>2.5000000000000001E-2</v>
      </c>
      <c r="U292">
        <v>2732.4</v>
      </c>
    </row>
    <row r="293" spans="1:21" x14ac:dyDescent="0.2">
      <c r="A293" t="s">
        <v>354</v>
      </c>
      <c r="B293" t="s">
        <v>54</v>
      </c>
      <c r="C293" t="s">
        <v>44</v>
      </c>
      <c r="D293" t="s">
        <v>24</v>
      </c>
      <c r="E293" t="s">
        <v>25</v>
      </c>
      <c r="F293" t="s">
        <v>62</v>
      </c>
      <c r="G293" t="s">
        <v>57</v>
      </c>
      <c r="H293" t="s">
        <v>52</v>
      </c>
      <c r="I293">
        <v>14</v>
      </c>
      <c r="J293">
        <v>45000</v>
      </c>
      <c r="K293">
        <v>27000</v>
      </c>
      <c r="L293">
        <v>2.4E-2</v>
      </c>
      <c r="M293">
        <v>0</v>
      </c>
      <c r="N293">
        <v>44</v>
      </c>
      <c r="O293">
        <v>43920</v>
      </c>
      <c r="P293">
        <v>614880</v>
      </c>
      <c r="Q293">
        <v>378000</v>
      </c>
      <c r="R293">
        <v>236880</v>
      </c>
      <c r="S293">
        <v>38.5</v>
      </c>
      <c r="T293">
        <v>0.06</v>
      </c>
      <c r="U293">
        <v>36892.800000000003</v>
      </c>
    </row>
    <row r="294" spans="1:21" x14ac:dyDescent="0.2">
      <c r="A294" t="s">
        <v>355</v>
      </c>
      <c r="B294" t="s">
        <v>54</v>
      </c>
      <c r="C294" t="s">
        <v>23</v>
      </c>
      <c r="D294" t="s">
        <v>67</v>
      </c>
      <c r="E294" t="s">
        <v>41</v>
      </c>
      <c r="F294" t="s">
        <v>86</v>
      </c>
      <c r="G294" t="s">
        <v>87</v>
      </c>
      <c r="H294" t="s">
        <v>75</v>
      </c>
      <c r="I294">
        <v>5</v>
      </c>
      <c r="J294">
        <v>28000</v>
      </c>
      <c r="K294">
        <v>16800</v>
      </c>
      <c r="L294">
        <v>1.4E-2</v>
      </c>
      <c r="M294">
        <v>1</v>
      </c>
      <c r="N294">
        <v>19</v>
      </c>
      <c r="O294">
        <v>27608</v>
      </c>
      <c r="P294">
        <v>138040</v>
      </c>
      <c r="Q294">
        <v>84000</v>
      </c>
      <c r="R294">
        <v>54040</v>
      </c>
      <c r="S294">
        <v>39.1</v>
      </c>
      <c r="T294">
        <v>2.5000000000000001E-2</v>
      </c>
      <c r="U294">
        <v>3451</v>
      </c>
    </row>
    <row r="295" spans="1:21" x14ac:dyDescent="0.2">
      <c r="A295" t="s">
        <v>356</v>
      </c>
      <c r="B295" t="s">
        <v>54</v>
      </c>
      <c r="C295" t="s">
        <v>35</v>
      </c>
      <c r="D295" t="s">
        <v>31</v>
      </c>
      <c r="E295" t="s">
        <v>25</v>
      </c>
      <c r="F295" t="s">
        <v>46</v>
      </c>
      <c r="G295" t="s">
        <v>47</v>
      </c>
      <c r="H295" t="s">
        <v>42</v>
      </c>
      <c r="I295">
        <v>9</v>
      </c>
      <c r="J295">
        <v>95000</v>
      </c>
      <c r="K295">
        <v>57000</v>
      </c>
      <c r="L295">
        <v>3.3000000000000002E-2</v>
      </c>
      <c r="M295">
        <v>1</v>
      </c>
      <c r="N295">
        <v>42</v>
      </c>
      <c r="O295">
        <v>91865</v>
      </c>
      <c r="P295">
        <v>826785</v>
      </c>
      <c r="Q295">
        <v>513000</v>
      </c>
      <c r="R295">
        <v>313785</v>
      </c>
      <c r="S295">
        <v>38</v>
      </c>
      <c r="T295">
        <v>0.06</v>
      </c>
      <c r="U295">
        <v>49607.1</v>
      </c>
    </row>
    <row r="296" spans="1:21" x14ac:dyDescent="0.2">
      <c r="A296" t="s">
        <v>357</v>
      </c>
      <c r="B296" t="s">
        <v>30</v>
      </c>
      <c r="C296" t="s">
        <v>81</v>
      </c>
      <c r="D296" t="s">
        <v>55</v>
      </c>
      <c r="E296" t="s">
        <v>41</v>
      </c>
      <c r="F296" t="s">
        <v>46</v>
      </c>
      <c r="G296" t="s">
        <v>47</v>
      </c>
      <c r="H296" t="s">
        <v>70</v>
      </c>
      <c r="I296">
        <v>11</v>
      </c>
      <c r="J296">
        <v>95000</v>
      </c>
      <c r="K296">
        <v>57000</v>
      </c>
      <c r="L296">
        <v>9.5000000000000001E-2</v>
      </c>
      <c r="M296">
        <v>1</v>
      </c>
      <c r="N296">
        <v>44</v>
      </c>
      <c r="O296">
        <v>85975</v>
      </c>
      <c r="P296">
        <v>945725</v>
      </c>
      <c r="Q296">
        <v>627000</v>
      </c>
      <c r="R296">
        <v>318725</v>
      </c>
      <c r="S296">
        <v>33.700000000000003</v>
      </c>
      <c r="T296">
        <v>2.5000000000000001E-2</v>
      </c>
      <c r="U296">
        <v>23643.119999999999</v>
      </c>
    </row>
    <row r="297" spans="1:21" x14ac:dyDescent="0.2">
      <c r="A297" t="s">
        <v>358</v>
      </c>
      <c r="B297" t="s">
        <v>34</v>
      </c>
      <c r="C297" t="s">
        <v>23</v>
      </c>
      <c r="D297" t="s">
        <v>24</v>
      </c>
      <c r="E297" t="s">
        <v>25</v>
      </c>
      <c r="F297" t="s">
        <v>46</v>
      </c>
      <c r="G297" t="s">
        <v>47</v>
      </c>
      <c r="H297" t="s">
        <v>75</v>
      </c>
      <c r="I297">
        <v>2</v>
      </c>
      <c r="J297">
        <v>95000</v>
      </c>
      <c r="K297">
        <v>57000</v>
      </c>
      <c r="L297">
        <v>4.9000000000000002E-2</v>
      </c>
      <c r="M297">
        <v>1</v>
      </c>
      <c r="N297">
        <v>25</v>
      </c>
      <c r="O297">
        <v>90345</v>
      </c>
      <c r="P297">
        <v>180690</v>
      </c>
      <c r="Q297">
        <v>114000</v>
      </c>
      <c r="R297">
        <v>66690</v>
      </c>
      <c r="S297">
        <v>36.9</v>
      </c>
      <c r="T297">
        <v>0.06</v>
      </c>
      <c r="U297">
        <v>10841.4</v>
      </c>
    </row>
    <row r="298" spans="1:21" x14ac:dyDescent="0.2">
      <c r="A298" t="s">
        <v>359</v>
      </c>
      <c r="B298" t="s">
        <v>30</v>
      </c>
      <c r="C298" t="s">
        <v>35</v>
      </c>
      <c r="D298" t="s">
        <v>45</v>
      </c>
      <c r="E298" t="s">
        <v>25</v>
      </c>
      <c r="F298" t="s">
        <v>51</v>
      </c>
      <c r="G298" t="s">
        <v>37</v>
      </c>
      <c r="H298" t="s">
        <v>28</v>
      </c>
      <c r="I298">
        <v>13</v>
      </c>
      <c r="J298">
        <v>32000</v>
      </c>
      <c r="K298">
        <v>19200</v>
      </c>
      <c r="L298">
        <v>3.6999999999999998E-2</v>
      </c>
      <c r="M298">
        <v>1</v>
      </c>
      <c r="N298">
        <v>28</v>
      </c>
      <c r="O298">
        <v>30816</v>
      </c>
      <c r="P298">
        <v>400608</v>
      </c>
      <c r="Q298">
        <v>249600</v>
      </c>
      <c r="R298">
        <v>151008</v>
      </c>
      <c r="S298">
        <v>37.700000000000003</v>
      </c>
      <c r="T298">
        <v>0.06</v>
      </c>
      <c r="U298">
        <v>24036.48</v>
      </c>
    </row>
    <row r="299" spans="1:21" x14ac:dyDescent="0.2">
      <c r="A299" t="s">
        <v>360</v>
      </c>
      <c r="B299" t="s">
        <v>34</v>
      </c>
      <c r="C299" t="s">
        <v>23</v>
      </c>
      <c r="D299" t="s">
        <v>31</v>
      </c>
      <c r="E299" t="s">
        <v>25</v>
      </c>
      <c r="F299" t="s">
        <v>86</v>
      </c>
      <c r="G299" t="s">
        <v>87</v>
      </c>
      <c r="H299" t="s">
        <v>42</v>
      </c>
      <c r="I299">
        <v>6</v>
      </c>
      <c r="J299">
        <v>28000</v>
      </c>
      <c r="K299">
        <v>16800</v>
      </c>
      <c r="L299">
        <v>8.7999999999999995E-2</v>
      </c>
      <c r="M299">
        <v>0</v>
      </c>
      <c r="N299">
        <v>37</v>
      </c>
      <c r="O299">
        <v>25536</v>
      </c>
      <c r="P299">
        <v>153216</v>
      </c>
      <c r="Q299">
        <v>100800</v>
      </c>
      <c r="R299">
        <v>52416</v>
      </c>
      <c r="S299">
        <v>34.200000000000003</v>
      </c>
      <c r="T299">
        <v>0.06</v>
      </c>
      <c r="U299">
        <v>9192.9599999999991</v>
      </c>
    </row>
    <row r="300" spans="1:21" x14ac:dyDescent="0.2">
      <c r="A300" t="s">
        <v>361</v>
      </c>
      <c r="B300" t="s">
        <v>22</v>
      </c>
      <c r="C300" t="s">
        <v>50</v>
      </c>
      <c r="D300" t="s">
        <v>67</v>
      </c>
      <c r="E300" t="s">
        <v>41</v>
      </c>
      <c r="F300" t="s">
        <v>62</v>
      </c>
      <c r="G300" t="s">
        <v>57</v>
      </c>
      <c r="H300" t="s">
        <v>64</v>
      </c>
      <c r="I300">
        <v>4</v>
      </c>
      <c r="J300">
        <v>45000</v>
      </c>
      <c r="K300">
        <v>27000</v>
      </c>
      <c r="L300">
        <v>0.05</v>
      </c>
      <c r="M300">
        <v>1</v>
      </c>
      <c r="N300">
        <v>6</v>
      </c>
      <c r="O300">
        <v>42750</v>
      </c>
      <c r="P300">
        <v>171000</v>
      </c>
      <c r="Q300">
        <v>108000</v>
      </c>
      <c r="R300">
        <v>63000</v>
      </c>
      <c r="S300">
        <v>36.799999999999997</v>
      </c>
      <c r="T300">
        <v>2.5000000000000001E-2</v>
      </c>
      <c r="U300">
        <v>4275</v>
      </c>
    </row>
    <row r="301" spans="1:21" x14ac:dyDescent="0.2">
      <c r="A301" t="s">
        <v>362</v>
      </c>
      <c r="B301" t="s">
        <v>22</v>
      </c>
      <c r="C301" t="s">
        <v>35</v>
      </c>
      <c r="D301" t="s">
        <v>40</v>
      </c>
      <c r="E301" t="s">
        <v>41</v>
      </c>
      <c r="F301" t="s">
        <v>86</v>
      </c>
      <c r="G301" t="s">
        <v>87</v>
      </c>
      <c r="H301" t="s">
        <v>70</v>
      </c>
      <c r="I301">
        <v>12</v>
      </c>
      <c r="J301">
        <v>28000</v>
      </c>
      <c r="K301">
        <v>16800</v>
      </c>
      <c r="L301">
        <v>7.6999999999999999E-2</v>
      </c>
      <c r="M301">
        <v>1</v>
      </c>
      <c r="N301">
        <v>3</v>
      </c>
      <c r="O301">
        <v>25844</v>
      </c>
      <c r="P301">
        <v>310128</v>
      </c>
      <c r="Q301">
        <v>201600</v>
      </c>
      <c r="R301">
        <v>108528</v>
      </c>
      <c r="S301">
        <v>35</v>
      </c>
      <c r="T301">
        <v>2.5000000000000001E-2</v>
      </c>
      <c r="U301">
        <v>7753.2</v>
      </c>
    </row>
    <row r="302" spans="1:21" x14ac:dyDescent="0.2">
      <c r="A302" t="s">
        <v>363</v>
      </c>
      <c r="B302" t="s">
        <v>30</v>
      </c>
      <c r="C302" t="s">
        <v>35</v>
      </c>
      <c r="D302" t="s">
        <v>45</v>
      </c>
      <c r="E302" t="s">
        <v>25</v>
      </c>
      <c r="F302" t="s">
        <v>86</v>
      </c>
      <c r="G302" t="s">
        <v>87</v>
      </c>
      <c r="H302" t="s">
        <v>48</v>
      </c>
      <c r="I302">
        <v>5</v>
      </c>
      <c r="J302">
        <v>28000</v>
      </c>
      <c r="K302">
        <v>16800</v>
      </c>
      <c r="L302">
        <v>2.1999999999999999E-2</v>
      </c>
      <c r="M302">
        <v>1</v>
      </c>
      <c r="N302">
        <v>42</v>
      </c>
      <c r="O302">
        <v>27384</v>
      </c>
      <c r="P302">
        <v>136920</v>
      </c>
      <c r="Q302">
        <v>84000</v>
      </c>
      <c r="R302">
        <v>52920</v>
      </c>
      <c r="S302">
        <v>38.700000000000003</v>
      </c>
      <c r="T302">
        <v>0.06</v>
      </c>
      <c r="U302">
        <v>8215.2000000000007</v>
      </c>
    </row>
    <row r="303" spans="1:21" x14ac:dyDescent="0.2">
      <c r="A303" t="s">
        <v>364</v>
      </c>
      <c r="B303" t="s">
        <v>34</v>
      </c>
      <c r="C303" t="s">
        <v>81</v>
      </c>
      <c r="D303" t="s">
        <v>55</v>
      </c>
      <c r="E303" t="s">
        <v>41</v>
      </c>
      <c r="F303" t="s">
        <v>62</v>
      </c>
      <c r="G303" t="s">
        <v>57</v>
      </c>
      <c r="H303" t="s">
        <v>38</v>
      </c>
      <c r="I303">
        <v>14</v>
      </c>
      <c r="J303">
        <v>45000</v>
      </c>
      <c r="K303">
        <v>27000</v>
      </c>
      <c r="L303">
        <v>4.2999999999999997E-2</v>
      </c>
      <c r="M303">
        <v>0</v>
      </c>
      <c r="N303">
        <v>44</v>
      </c>
      <c r="O303">
        <v>43065</v>
      </c>
      <c r="P303">
        <v>602910</v>
      </c>
      <c r="Q303">
        <v>378000</v>
      </c>
      <c r="R303">
        <v>224910</v>
      </c>
      <c r="S303">
        <v>37.299999999999997</v>
      </c>
      <c r="T303">
        <v>2.5000000000000001E-2</v>
      </c>
      <c r="U303">
        <v>15072.75</v>
      </c>
    </row>
    <row r="304" spans="1:21" x14ac:dyDescent="0.2">
      <c r="A304" t="s">
        <v>365</v>
      </c>
      <c r="B304" t="s">
        <v>30</v>
      </c>
      <c r="C304" t="s">
        <v>23</v>
      </c>
      <c r="D304" t="s">
        <v>45</v>
      </c>
      <c r="E304" t="s">
        <v>25</v>
      </c>
      <c r="F304" t="s">
        <v>62</v>
      </c>
      <c r="G304" t="s">
        <v>57</v>
      </c>
      <c r="H304" t="s">
        <v>28</v>
      </c>
      <c r="I304">
        <v>9</v>
      </c>
      <c r="J304">
        <v>45000</v>
      </c>
      <c r="K304">
        <v>27000</v>
      </c>
      <c r="L304">
        <v>7.0000000000000007E-2</v>
      </c>
      <c r="M304">
        <v>1</v>
      </c>
      <c r="N304">
        <v>30</v>
      </c>
      <c r="O304">
        <v>41850</v>
      </c>
      <c r="P304">
        <v>376650</v>
      </c>
      <c r="Q304">
        <v>243000</v>
      </c>
      <c r="R304">
        <v>133650</v>
      </c>
      <c r="S304">
        <v>35.5</v>
      </c>
      <c r="T304">
        <v>0.06</v>
      </c>
      <c r="U304">
        <v>22599</v>
      </c>
    </row>
    <row r="305" spans="1:21" x14ac:dyDescent="0.2">
      <c r="A305" t="s">
        <v>366</v>
      </c>
      <c r="B305" t="s">
        <v>54</v>
      </c>
      <c r="C305" t="s">
        <v>23</v>
      </c>
      <c r="D305" t="s">
        <v>45</v>
      </c>
      <c r="E305" t="s">
        <v>25</v>
      </c>
      <c r="F305" t="s">
        <v>73</v>
      </c>
      <c r="G305" t="s">
        <v>74</v>
      </c>
      <c r="H305" t="s">
        <v>52</v>
      </c>
      <c r="I305">
        <v>3</v>
      </c>
      <c r="J305">
        <v>22000</v>
      </c>
      <c r="K305">
        <v>13200</v>
      </c>
      <c r="L305">
        <v>7.0000000000000007E-2</v>
      </c>
      <c r="M305">
        <v>1</v>
      </c>
      <c r="N305">
        <v>17</v>
      </c>
      <c r="O305">
        <v>20460</v>
      </c>
      <c r="P305">
        <v>61380</v>
      </c>
      <c r="Q305">
        <v>39600</v>
      </c>
      <c r="R305">
        <v>21780</v>
      </c>
      <c r="S305">
        <v>35.5</v>
      </c>
      <c r="T305">
        <v>0.06</v>
      </c>
      <c r="U305">
        <v>3682.8</v>
      </c>
    </row>
    <row r="306" spans="1:21" x14ac:dyDescent="0.2">
      <c r="A306" t="s">
        <v>367</v>
      </c>
      <c r="B306" t="s">
        <v>30</v>
      </c>
      <c r="C306" t="s">
        <v>44</v>
      </c>
      <c r="D306" t="s">
        <v>55</v>
      </c>
      <c r="E306" t="s">
        <v>41</v>
      </c>
      <c r="F306" t="s">
        <v>62</v>
      </c>
      <c r="G306" t="s">
        <v>57</v>
      </c>
      <c r="H306" t="s">
        <v>64</v>
      </c>
      <c r="I306">
        <v>6</v>
      </c>
      <c r="J306">
        <v>45000</v>
      </c>
      <c r="K306">
        <v>27000</v>
      </c>
      <c r="L306">
        <v>3.6999999999999998E-2</v>
      </c>
      <c r="M306">
        <v>0</v>
      </c>
      <c r="N306">
        <v>28</v>
      </c>
      <c r="O306">
        <v>43335</v>
      </c>
      <c r="P306">
        <v>260010</v>
      </c>
      <c r="Q306">
        <v>162000</v>
      </c>
      <c r="R306">
        <v>98010</v>
      </c>
      <c r="S306">
        <v>37.700000000000003</v>
      </c>
      <c r="T306">
        <v>2.5000000000000001E-2</v>
      </c>
      <c r="U306">
        <v>6500.25</v>
      </c>
    </row>
    <row r="307" spans="1:21" x14ac:dyDescent="0.2">
      <c r="A307" t="s">
        <v>368</v>
      </c>
      <c r="B307" t="s">
        <v>54</v>
      </c>
      <c r="C307" t="s">
        <v>35</v>
      </c>
      <c r="D307" t="s">
        <v>24</v>
      </c>
      <c r="E307" t="s">
        <v>25</v>
      </c>
      <c r="F307" t="s">
        <v>73</v>
      </c>
      <c r="G307" t="s">
        <v>74</v>
      </c>
      <c r="H307" t="s">
        <v>70</v>
      </c>
      <c r="I307">
        <v>8</v>
      </c>
      <c r="J307">
        <v>22000</v>
      </c>
      <c r="K307">
        <v>13200</v>
      </c>
      <c r="L307">
        <v>8.5999999999999993E-2</v>
      </c>
      <c r="M307">
        <v>0</v>
      </c>
      <c r="N307">
        <v>8</v>
      </c>
      <c r="O307">
        <v>20108</v>
      </c>
      <c r="P307">
        <v>160864</v>
      </c>
      <c r="Q307">
        <v>105600</v>
      </c>
      <c r="R307">
        <v>55264</v>
      </c>
      <c r="S307">
        <v>34.4</v>
      </c>
      <c r="T307">
        <v>0.06</v>
      </c>
      <c r="U307">
        <v>9651.84</v>
      </c>
    </row>
    <row r="308" spans="1:21" x14ac:dyDescent="0.2">
      <c r="A308" t="s">
        <v>369</v>
      </c>
      <c r="B308" t="s">
        <v>30</v>
      </c>
      <c r="C308" t="s">
        <v>23</v>
      </c>
      <c r="D308" t="s">
        <v>45</v>
      </c>
      <c r="E308" t="s">
        <v>25</v>
      </c>
      <c r="F308" t="s">
        <v>26</v>
      </c>
      <c r="G308" t="s">
        <v>27</v>
      </c>
      <c r="H308" t="s">
        <v>52</v>
      </c>
      <c r="I308">
        <v>13</v>
      </c>
      <c r="J308">
        <v>35000</v>
      </c>
      <c r="K308">
        <v>21000</v>
      </c>
      <c r="L308">
        <v>6.0999999999999999E-2</v>
      </c>
      <c r="M308">
        <v>1</v>
      </c>
      <c r="N308">
        <v>44</v>
      </c>
      <c r="O308">
        <v>32865</v>
      </c>
      <c r="P308">
        <v>427245</v>
      </c>
      <c r="Q308">
        <v>273000</v>
      </c>
      <c r="R308">
        <v>154245</v>
      </c>
      <c r="S308">
        <v>36.1</v>
      </c>
      <c r="T308">
        <v>0.06</v>
      </c>
      <c r="U308">
        <v>25634.7</v>
      </c>
    </row>
    <row r="309" spans="1:21" x14ac:dyDescent="0.2">
      <c r="A309" t="s">
        <v>370</v>
      </c>
      <c r="B309" t="s">
        <v>34</v>
      </c>
      <c r="C309" t="s">
        <v>50</v>
      </c>
      <c r="D309" t="s">
        <v>31</v>
      </c>
      <c r="E309" t="s">
        <v>25</v>
      </c>
      <c r="F309" t="s">
        <v>46</v>
      </c>
      <c r="G309" t="s">
        <v>47</v>
      </c>
      <c r="H309" t="s">
        <v>70</v>
      </c>
      <c r="I309">
        <v>2</v>
      </c>
      <c r="J309">
        <v>95000</v>
      </c>
      <c r="K309">
        <v>57000</v>
      </c>
      <c r="L309">
        <v>8.0000000000000002E-3</v>
      </c>
      <c r="M309">
        <v>1</v>
      </c>
      <c r="N309">
        <v>4</v>
      </c>
      <c r="O309">
        <v>94240</v>
      </c>
      <c r="P309">
        <v>188480</v>
      </c>
      <c r="Q309">
        <v>114000</v>
      </c>
      <c r="R309">
        <v>74480</v>
      </c>
      <c r="S309">
        <v>39.5</v>
      </c>
      <c r="T309">
        <v>0.06</v>
      </c>
      <c r="U309">
        <v>11308.8</v>
      </c>
    </row>
    <row r="310" spans="1:21" x14ac:dyDescent="0.2">
      <c r="A310" t="s">
        <v>371</v>
      </c>
      <c r="B310" t="s">
        <v>22</v>
      </c>
      <c r="C310" t="s">
        <v>44</v>
      </c>
      <c r="D310" t="s">
        <v>31</v>
      </c>
      <c r="E310" t="s">
        <v>25</v>
      </c>
      <c r="F310" t="s">
        <v>62</v>
      </c>
      <c r="G310" t="s">
        <v>57</v>
      </c>
      <c r="H310" t="s">
        <v>42</v>
      </c>
      <c r="I310">
        <v>14</v>
      </c>
      <c r="J310">
        <v>45000</v>
      </c>
      <c r="K310">
        <v>27000</v>
      </c>
      <c r="L310">
        <v>2E-3</v>
      </c>
      <c r="M310">
        <v>1</v>
      </c>
      <c r="N310">
        <v>7</v>
      </c>
      <c r="O310">
        <v>44910</v>
      </c>
      <c r="P310">
        <v>628740</v>
      </c>
      <c r="Q310">
        <v>378000</v>
      </c>
      <c r="R310">
        <v>250740</v>
      </c>
      <c r="S310">
        <v>39.9</v>
      </c>
      <c r="T310">
        <v>0.06</v>
      </c>
      <c r="U310">
        <v>37724.400000000001</v>
      </c>
    </row>
    <row r="311" spans="1:21" x14ac:dyDescent="0.2">
      <c r="A311" t="s">
        <v>372</v>
      </c>
      <c r="B311" t="s">
        <v>54</v>
      </c>
      <c r="C311" t="s">
        <v>35</v>
      </c>
      <c r="D311" t="s">
        <v>67</v>
      </c>
      <c r="E311" t="s">
        <v>41</v>
      </c>
      <c r="F311" t="s">
        <v>56</v>
      </c>
      <c r="G311" t="s">
        <v>57</v>
      </c>
      <c r="H311" t="s">
        <v>48</v>
      </c>
      <c r="I311">
        <v>7</v>
      </c>
      <c r="J311">
        <v>180000</v>
      </c>
      <c r="K311">
        <v>108000</v>
      </c>
      <c r="L311">
        <v>0.16900000000000001</v>
      </c>
      <c r="M311">
        <v>1</v>
      </c>
      <c r="N311">
        <v>40</v>
      </c>
      <c r="O311">
        <v>149580</v>
      </c>
      <c r="P311">
        <v>1047060</v>
      </c>
      <c r="Q311">
        <v>756000</v>
      </c>
      <c r="R311">
        <v>291060</v>
      </c>
      <c r="S311">
        <v>27.8</v>
      </c>
      <c r="T311">
        <v>2.5000000000000001E-2</v>
      </c>
      <c r="U311">
        <v>26176.5</v>
      </c>
    </row>
    <row r="312" spans="1:21" x14ac:dyDescent="0.2">
      <c r="A312" t="s">
        <v>373</v>
      </c>
      <c r="B312" t="s">
        <v>34</v>
      </c>
      <c r="C312" t="s">
        <v>23</v>
      </c>
      <c r="D312" t="s">
        <v>67</v>
      </c>
      <c r="E312" t="s">
        <v>41</v>
      </c>
      <c r="F312" t="s">
        <v>26</v>
      </c>
      <c r="G312" t="s">
        <v>27</v>
      </c>
      <c r="H312" t="s">
        <v>32</v>
      </c>
      <c r="I312">
        <v>5</v>
      </c>
      <c r="J312">
        <v>35000</v>
      </c>
      <c r="K312">
        <v>21000</v>
      </c>
      <c r="L312">
        <v>3.6999999999999998E-2</v>
      </c>
      <c r="M312">
        <v>0</v>
      </c>
      <c r="N312">
        <v>30</v>
      </c>
      <c r="O312">
        <v>33705</v>
      </c>
      <c r="P312">
        <v>168525</v>
      </c>
      <c r="Q312">
        <v>105000</v>
      </c>
      <c r="R312">
        <v>63525</v>
      </c>
      <c r="S312">
        <v>37.700000000000003</v>
      </c>
      <c r="T312">
        <v>2.5000000000000001E-2</v>
      </c>
      <c r="U312">
        <v>4213.12</v>
      </c>
    </row>
    <row r="313" spans="1:21" x14ac:dyDescent="0.2">
      <c r="A313" t="s">
        <v>374</v>
      </c>
      <c r="B313" t="s">
        <v>30</v>
      </c>
      <c r="C313" t="s">
        <v>23</v>
      </c>
      <c r="D313" t="s">
        <v>55</v>
      </c>
      <c r="E313" t="s">
        <v>41</v>
      </c>
      <c r="F313" t="s">
        <v>86</v>
      </c>
      <c r="G313" t="s">
        <v>87</v>
      </c>
      <c r="H313" t="s">
        <v>52</v>
      </c>
      <c r="I313">
        <v>10</v>
      </c>
      <c r="J313">
        <v>28000</v>
      </c>
      <c r="K313">
        <v>16800</v>
      </c>
      <c r="L313">
        <v>5.0999999999999997E-2</v>
      </c>
      <c r="M313">
        <v>1</v>
      </c>
      <c r="N313">
        <v>31</v>
      </c>
      <c r="O313">
        <v>26572</v>
      </c>
      <c r="P313">
        <v>265720</v>
      </c>
      <c r="Q313">
        <v>168000</v>
      </c>
      <c r="R313">
        <v>97720</v>
      </c>
      <c r="S313">
        <v>36.799999999999997</v>
      </c>
      <c r="T313">
        <v>2.5000000000000001E-2</v>
      </c>
      <c r="U313">
        <v>6643</v>
      </c>
    </row>
    <row r="314" spans="1:21" x14ac:dyDescent="0.2">
      <c r="A314" t="s">
        <v>375</v>
      </c>
      <c r="B314" t="s">
        <v>34</v>
      </c>
      <c r="C314" t="s">
        <v>44</v>
      </c>
      <c r="D314" t="s">
        <v>45</v>
      </c>
      <c r="E314" t="s">
        <v>25</v>
      </c>
      <c r="F314" t="s">
        <v>56</v>
      </c>
      <c r="G314" t="s">
        <v>57</v>
      </c>
      <c r="H314" t="s">
        <v>42</v>
      </c>
      <c r="I314">
        <v>7</v>
      </c>
      <c r="J314">
        <v>180000</v>
      </c>
      <c r="K314">
        <v>108000</v>
      </c>
      <c r="L314">
        <v>5.8999999999999997E-2</v>
      </c>
      <c r="M314">
        <v>1</v>
      </c>
      <c r="N314">
        <v>25</v>
      </c>
      <c r="O314">
        <v>169380</v>
      </c>
      <c r="P314">
        <v>1185660</v>
      </c>
      <c r="Q314">
        <v>756000</v>
      </c>
      <c r="R314">
        <v>429660</v>
      </c>
      <c r="S314">
        <v>36.200000000000003</v>
      </c>
      <c r="T314">
        <v>0.06</v>
      </c>
      <c r="U314">
        <v>71139.600000000006</v>
      </c>
    </row>
    <row r="315" spans="1:21" x14ac:dyDescent="0.2">
      <c r="A315" t="s">
        <v>376</v>
      </c>
      <c r="B315" t="s">
        <v>54</v>
      </c>
      <c r="C315" t="s">
        <v>81</v>
      </c>
      <c r="D315" t="s">
        <v>83</v>
      </c>
      <c r="E315" t="s">
        <v>25</v>
      </c>
      <c r="F315" t="s">
        <v>86</v>
      </c>
      <c r="G315" t="s">
        <v>87</v>
      </c>
      <c r="H315" t="s">
        <v>64</v>
      </c>
      <c r="I315">
        <v>11</v>
      </c>
      <c r="J315">
        <v>28000</v>
      </c>
      <c r="K315">
        <v>16800</v>
      </c>
      <c r="L315">
        <v>0.1</v>
      </c>
      <c r="M315">
        <v>1</v>
      </c>
      <c r="N315">
        <v>6</v>
      </c>
      <c r="O315">
        <v>25200</v>
      </c>
      <c r="P315">
        <v>277200</v>
      </c>
      <c r="Q315">
        <v>184800</v>
      </c>
      <c r="R315">
        <v>92400</v>
      </c>
      <c r="S315">
        <v>33.299999999999997</v>
      </c>
      <c r="T315">
        <v>0.06</v>
      </c>
      <c r="U315">
        <v>16632</v>
      </c>
    </row>
    <row r="316" spans="1:21" x14ac:dyDescent="0.2">
      <c r="A316" t="s">
        <v>377</v>
      </c>
      <c r="B316" t="s">
        <v>22</v>
      </c>
      <c r="C316" t="s">
        <v>35</v>
      </c>
      <c r="D316" t="s">
        <v>45</v>
      </c>
      <c r="E316" t="s">
        <v>25</v>
      </c>
      <c r="F316" t="s">
        <v>86</v>
      </c>
      <c r="G316" t="s">
        <v>87</v>
      </c>
      <c r="H316" t="s">
        <v>28</v>
      </c>
      <c r="I316">
        <v>12</v>
      </c>
      <c r="J316">
        <v>28000</v>
      </c>
      <c r="K316">
        <v>16800</v>
      </c>
      <c r="L316">
        <v>6.6000000000000003E-2</v>
      </c>
      <c r="M316">
        <v>0</v>
      </c>
      <c r="N316">
        <v>30</v>
      </c>
      <c r="O316">
        <v>26152</v>
      </c>
      <c r="P316">
        <v>313824</v>
      </c>
      <c r="Q316">
        <v>201600</v>
      </c>
      <c r="R316">
        <v>112224</v>
      </c>
      <c r="S316">
        <v>35.799999999999997</v>
      </c>
      <c r="T316">
        <v>0.06</v>
      </c>
      <c r="U316">
        <v>18829.439999999999</v>
      </c>
    </row>
    <row r="317" spans="1:21" x14ac:dyDescent="0.2">
      <c r="A317" t="s">
        <v>378</v>
      </c>
      <c r="B317" t="s">
        <v>34</v>
      </c>
      <c r="C317" t="s">
        <v>23</v>
      </c>
      <c r="D317" t="s">
        <v>55</v>
      </c>
      <c r="E317" t="s">
        <v>41</v>
      </c>
      <c r="F317" t="s">
        <v>36</v>
      </c>
      <c r="G317" t="s">
        <v>37</v>
      </c>
      <c r="H317" t="s">
        <v>75</v>
      </c>
      <c r="I317">
        <v>6</v>
      </c>
      <c r="J317">
        <v>8500</v>
      </c>
      <c r="K317">
        <v>5100</v>
      </c>
      <c r="L317">
        <v>4.3999999999999997E-2</v>
      </c>
      <c r="M317">
        <v>1</v>
      </c>
      <c r="N317">
        <v>32</v>
      </c>
      <c r="O317">
        <v>8126</v>
      </c>
      <c r="P317">
        <v>48756</v>
      </c>
      <c r="Q317">
        <v>30600</v>
      </c>
      <c r="R317">
        <v>18156</v>
      </c>
      <c r="S317">
        <v>37.200000000000003</v>
      </c>
      <c r="T317">
        <v>2.5000000000000001E-2</v>
      </c>
      <c r="U317">
        <v>1218.9000000000001</v>
      </c>
    </row>
    <row r="318" spans="1:21" x14ac:dyDescent="0.2">
      <c r="A318" t="s">
        <v>379</v>
      </c>
      <c r="B318" t="s">
        <v>54</v>
      </c>
      <c r="C318" t="s">
        <v>23</v>
      </c>
      <c r="D318" t="s">
        <v>45</v>
      </c>
      <c r="E318" t="s">
        <v>25</v>
      </c>
      <c r="F318" t="s">
        <v>56</v>
      </c>
      <c r="G318" t="s">
        <v>57</v>
      </c>
      <c r="H318" t="s">
        <v>48</v>
      </c>
      <c r="I318">
        <v>3</v>
      </c>
      <c r="J318">
        <v>180000</v>
      </c>
      <c r="K318">
        <v>108000</v>
      </c>
      <c r="L318">
        <v>8.9999999999999993E-3</v>
      </c>
      <c r="M318">
        <v>1</v>
      </c>
      <c r="N318">
        <v>23</v>
      </c>
      <c r="O318">
        <v>178380</v>
      </c>
      <c r="P318">
        <v>535140</v>
      </c>
      <c r="Q318">
        <v>324000</v>
      </c>
      <c r="R318">
        <v>211140</v>
      </c>
      <c r="S318">
        <v>39.5</v>
      </c>
      <c r="T318">
        <v>0.06</v>
      </c>
      <c r="U318">
        <v>32108.400000000001</v>
      </c>
    </row>
    <row r="319" spans="1:21" x14ac:dyDescent="0.2">
      <c r="A319" t="s">
        <v>380</v>
      </c>
      <c r="B319" t="s">
        <v>30</v>
      </c>
      <c r="C319" t="s">
        <v>35</v>
      </c>
      <c r="D319" t="s">
        <v>31</v>
      </c>
      <c r="E319" t="s">
        <v>25</v>
      </c>
      <c r="F319" t="s">
        <v>62</v>
      </c>
      <c r="G319" t="s">
        <v>57</v>
      </c>
      <c r="H319" t="s">
        <v>64</v>
      </c>
      <c r="I319">
        <v>13</v>
      </c>
      <c r="J319">
        <v>45000</v>
      </c>
      <c r="K319">
        <v>27000</v>
      </c>
      <c r="L319">
        <v>8.5999999999999993E-2</v>
      </c>
      <c r="M319">
        <v>1</v>
      </c>
      <c r="N319">
        <v>15</v>
      </c>
      <c r="O319">
        <v>41130</v>
      </c>
      <c r="P319">
        <v>534690</v>
      </c>
      <c r="Q319">
        <v>351000</v>
      </c>
      <c r="R319">
        <v>183690</v>
      </c>
      <c r="S319">
        <v>34.4</v>
      </c>
      <c r="T319">
        <v>0.06</v>
      </c>
      <c r="U319">
        <v>32081.4</v>
      </c>
    </row>
    <row r="320" spans="1:21" x14ac:dyDescent="0.2">
      <c r="A320" t="s">
        <v>381</v>
      </c>
      <c r="B320" t="s">
        <v>30</v>
      </c>
      <c r="C320" t="s">
        <v>35</v>
      </c>
      <c r="D320" t="s">
        <v>45</v>
      </c>
      <c r="E320" t="s">
        <v>25</v>
      </c>
      <c r="F320" t="s">
        <v>26</v>
      </c>
      <c r="G320" t="s">
        <v>27</v>
      </c>
      <c r="H320" t="s">
        <v>48</v>
      </c>
      <c r="I320">
        <v>13</v>
      </c>
      <c r="J320">
        <v>35000</v>
      </c>
      <c r="K320">
        <v>21000</v>
      </c>
      <c r="L320">
        <v>0.06</v>
      </c>
      <c r="M320">
        <v>0</v>
      </c>
      <c r="N320">
        <v>43</v>
      </c>
      <c r="O320">
        <v>32900</v>
      </c>
      <c r="P320">
        <v>427700</v>
      </c>
      <c r="Q320">
        <v>273000</v>
      </c>
      <c r="R320">
        <v>154700</v>
      </c>
      <c r="S320">
        <v>36.200000000000003</v>
      </c>
      <c r="T320">
        <v>0.06</v>
      </c>
      <c r="U320">
        <v>25662</v>
      </c>
    </row>
    <row r="321" spans="1:21" x14ac:dyDescent="0.2">
      <c r="A321" t="s">
        <v>382</v>
      </c>
      <c r="B321" t="s">
        <v>54</v>
      </c>
      <c r="C321" t="s">
        <v>35</v>
      </c>
      <c r="D321" t="s">
        <v>83</v>
      </c>
      <c r="E321" t="s">
        <v>25</v>
      </c>
      <c r="F321" t="s">
        <v>62</v>
      </c>
      <c r="G321" t="s">
        <v>57</v>
      </c>
      <c r="H321" t="s">
        <v>75</v>
      </c>
      <c r="I321">
        <v>13</v>
      </c>
      <c r="J321">
        <v>45000</v>
      </c>
      <c r="K321">
        <v>27000</v>
      </c>
      <c r="L321">
        <v>0.11</v>
      </c>
      <c r="M321">
        <v>1</v>
      </c>
      <c r="N321">
        <v>19</v>
      </c>
      <c r="O321">
        <v>40050</v>
      </c>
      <c r="P321">
        <v>520650</v>
      </c>
      <c r="Q321">
        <v>351000</v>
      </c>
      <c r="R321">
        <v>169650</v>
      </c>
      <c r="S321">
        <v>32.6</v>
      </c>
      <c r="T321">
        <v>0.06</v>
      </c>
      <c r="U321">
        <v>31239</v>
      </c>
    </row>
    <row r="322" spans="1:21" x14ac:dyDescent="0.2">
      <c r="A322" t="s">
        <v>383</v>
      </c>
      <c r="B322" t="s">
        <v>34</v>
      </c>
      <c r="C322" t="s">
        <v>23</v>
      </c>
      <c r="D322" t="s">
        <v>55</v>
      </c>
      <c r="E322" t="s">
        <v>41</v>
      </c>
      <c r="F322" t="s">
        <v>86</v>
      </c>
      <c r="G322" t="s">
        <v>87</v>
      </c>
      <c r="H322" t="s">
        <v>52</v>
      </c>
      <c r="I322">
        <v>10</v>
      </c>
      <c r="J322">
        <v>28000</v>
      </c>
      <c r="K322">
        <v>16800</v>
      </c>
      <c r="L322">
        <v>2.5999999999999999E-2</v>
      </c>
      <c r="M322">
        <v>1</v>
      </c>
      <c r="N322">
        <v>9</v>
      </c>
      <c r="O322">
        <v>27272</v>
      </c>
      <c r="P322">
        <v>272720</v>
      </c>
      <c r="Q322">
        <v>168000</v>
      </c>
      <c r="R322">
        <v>104720</v>
      </c>
      <c r="S322">
        <v>38.4</v>
      </c>
      <c r="T322">
        <v>2.5000000000000001E-2</v>
      </c>
      <c r="U322">
        <v>6818</v>
      </c>
    </row>
    <row r="323" spans="1:21" x14ac:dyDescent="0.2">
      <c r="A323" t="s">
        <v>384</v>
      </c>
      <c r="B323" t="s">
        <v>22</v>
      </c>
      <c r="C323" t="s">
        <v>35</v>
      </c>
      <c r="D323" t="s">
        <v>45</v>
      </c>
      <c r="E323" t="s">
        <v>25</v>
      </c>
      <c r="F323" t="s">
        <v>36</v>
      </c>
      <c r="G323" t="s">
        <v>37</v>
      </c>
      <c r="H323" t="s">
        <v>42</v>
      </c>
      <c r="I323">
        <v>9</v>
      </c>
      <c r="J323">
        <v>8500</v>
      </c>
      <c r="K323">
        <v>5100</v>
      </c>
      <c r="L323">
        <v>6.0999999999999999E-2</v>
      </c>
      <c r="M323">
        <v>0</v>
      </c>
      <c r="N323">
        <v>16</v>
      </c>
      <c r="O323">
        <v>7981.5</v>
      </c>
      <c r="P323">
        <v>71833.5</v>
      </c>
      <c r="Q323">
        <v>45900</v>
      </c>
      <c r="R323">
        <v>25933.5</v>
      </c>
      <c r="S323">
        <v>36.1</v>
      </c>
      <c r="T323">
        <v>0.06</v>
      </c>
      <c r="U323">
        <v>4310.01</v>
      </c>
    </row>
    <row r="324" spans="1:21" x14ac:dyDescent="0.2">
      <c r="A324" t="s">
        <v>385</v>
      </c>
      <c r="B324" t="s">
        <v>30</v>
      </c>
      <c r="C324" t="s">
        <v>35</v>
      </c>
      <c r="D324" t="s">
        <v>24</v>
      </c>
      <c r="E324" t="s">
        <v>25</v>
      </c>
      <c r="F324" t="s">
        <v>46</v>
      </c>
      <c r="G324" t="s">
        <v>47</v>
      </c>
      <c r="H324" t="s">
        <v>48</v>
      </c>
      <c r="I324">
        <v>2</v>
      </c>
      <c r="J324">
        <v>95000</v>
      </c>
      <c r="K324">
        <v>57000</v>
      </c>
      <c r="L324">
        <v>7.2999999999999995E-2</v>
      </c>
      <c r="M324">
        <v>1</v>
      </c>
      <c r="N324">
        <v>27</v>
      </c>
      <c r="O324">
        <v>88065</v>
      </c>
      <c r="P324">
        <v>176130</v>
      </c>
      <c r="Q324">
        <v>114000</v>
      </c>
      <c r="R324">
        <v>62130</v>
      </c>
      <c r="S324">
        <v>35.299999999999997</v>
      </c>
      <c r="T324">
        <v>0.06</v>
      </c>
      <c r="U324">
        <v>10567.8</v>
      </c>
    </row>
    <row r="325" spans="1:21" x14ac:dyDescent="0.2">
      <c r="A325" t="s">
        <v>386</v>
      </c>
      <c r="B325" t="s">
        <v>22</v>
      </c>
      <c r="C325" t="s">
        <v>35</v>
      </c>
      <c r="D325" t="s">
        <v>45</v>
      </c>
      <c r="E325" t="s">
        <v>25</v>
      </c>
      <c r="F325" t="s">
        <v>62</v>
      </c>
      <c r="G325" t="s">
        <v>57</v>
      </c>
      <c r="H325" t="s">
        <v>32</v>
      </c>
      <c r="I325">
        <v>8</v>
      </c>
      <c r="J325">
        <v>45000</v>
      </c>
      <c r="K325">
        <v>27000</v>
      </c>
      <c r="L325">
        <v>4.1000000000000002E-2</v>
      </c>
      <c r="M325">
        <v>1</v>
      </c>
      <c r="N325">
        <v>32</v>
      </c>
      <c r="O325">
        <v>43155</v>
      </c>
      <c r="P325">
        <v>345240</v>
      </c>
      <c r="Q325">
        <v>216000</v>
      </c>
      <c r="R325">
        <v>129240</v>
      </c>
      <c r="S325">
        <v>37.4</v>
      </c>
      <c r="T325">
        <v>0.06</v>
      </c>
      <c r="U325">
        <v>20714.400000000001</v>
      </c>
    </row>
    <row r="326" spans="1:21" x14ac:dyDescent="0.2">
      <c r="A326" t="s">
        <v>387</v>
      </c>
      <c r="B326" t="s">
        <v>22</v>
      </c>
      <c r="C326" t="s">
        <v>50</v>
      </c>
      <c r="D326" t="s">
        <v>67</v>
      </c>
      <c r="E326" t="s">
        <v>41</v>
      </c>
      <c r="F326" t="s">
        <v>46</v>
      </c>
      <c r="G326" t="s">
        <v>47</v>
      </c>
      <c r="H326" t="s">
        <v>70</v>
      </c>
      <c r="I326">
        <v>4</v>
      </c>
      <c r="J326">
        <v>95000</v>
      </c>
      <c r="K326">
        <v>57000</v>
      </c>
      <c r="L326">
        <v>5.8000000000000003E-2</v>
      </c>
      <c r="M326">
        <v>1</v>
      </c>
      <c r="N326">
        <v>27</v>
      </c>
      <c r="O326">
        <v>89490</v>
      </c>
      <c r="P326">
        <v>357960</v>
      </c>
      <c r="Q326">
        <v>228000</v>
      </c>
      <c r="R326">
        <v>129960</v>
      </c>
      <c r="S326">
        <v>36.299999999999997</v>
      </c>
      <c r="T326">
        <v>2.5000000000000001E-2</v>
      </c>
      <c r="U326">
        <v>8949</v>
      </c>
    </row>
    <row r="327" spans="1:21" x14ac:dyDescent="0.2">
      <c r="A327" t="s">
        <v>388</v>
      </c>
      <c r="B327" t="s">
        <v>34</v>
      </c>
      <c r="C327" t="s">
        <v>35</v>
      </c>
      <c r="D327" t="s">
        <v>67</v>
      </c>
      <c r="E327" t="s">
        <v>41</v>
      </c>
      <c r="F327" t="s">
        <v>56</v>
      </c>
      <c r="G327" t="s">
        <v>57</v>
      </c>
      <c r="H327" t="s">
        <v>75</v>
      </c>
      <c r="I327">
        <v>13</v>
      </c>
      <c r="J327">
        <v>180000</v>
      </c>
      <c r="K327">
        <v>108000</v>
      </c>
      <c r="L327">
        <v>3.1E-2</v>
      </c>
      <c r="M327">
        <v>1</v>
      </c>
      <c r="N327">
        <v>14</v>
      </c>
      <c r="O327">
        <v>174420</v>
      </c>
      <c r="P327">
        <v>2267460</v>
      </c>
      <c r="Q327">
        <v>1404000</v>
      </c>
      <c r="R327">
        <v>863460</v>
      </c>
      <c r="S327">
        <v>38.1</v>
      </c>
      <c r="T327">
        <v>2.5000000000000001E-2</v>
      </c>
      <c r="U327">
        <v>56686.5</v>
      </c>
    </row>
    <row r="328" spans="1:21" x14ac:dyDescent="0.2">
      <c r="A328" t="s">
        <v>389</v>
      </c>
      <c r="B328" t="s">
        <v>34</v>
      </c>
      <c r="C328" t="s">
        <v>44</v>
      </c>
      <c r="D328" t="s">
        <v>45</v>
      </c>
      <c r="E328" t="s">
        <v>25</v>
      </c>
      <c r="F328" t="s">
        <v>62</v>
      </c>
      <c r="G328" t="s">
        <v>57</v>
      </c>
      <c r="H328" t="s">
        <v>75</v>
      </c>
      <c r="I328">
        <v>7</v>
      </c>
      <c r="J328">
        <v>45000</v>
      </c>
      <c r="K328">
        <v>27000</v>
      </c>
      <c r="L328">
        <v>4.2999999999999997E-2</v>
      </c>
      <c r="M328">
        <v>0</v>
      </c>
      <c r="N328">
        <v>43</v>
      </c>
      <c r="O328">
        <v>43065</v>
      </c>
      <c r="P328">
        <v>301455</v>
      </c>
      <c r="Q328">
        <v>189000</v>
      </c>
      <c r="R328">
        <v>112455</v>
      </c>
      <c r="S328">
        <v>37.299999999999997</v>
      </c>
      <c r="T328">
        <v>0.06</v>
      </c>
      <c r="U328">
        <v>18087.3</v>
      </c>
    </row>
    <row r="329" spans="1:21" x14ac:dyDescent="0.2">
      <c r="A329" t="s">
        <v>390</v>
      </c>
      <c r="B329" t="s">
        <v>54</v>
      </c>
      <c r="C329" t="s">
        <v>44</v>
      </c>
      <c r="D329" t="s">
        <v>45</v>
      </c>
      <c r="E329" t="s">
        <v>25</v>
      </c>
      <c r="F329" t="s">
        <v>26</v>
      </c>
      <c r="G329" t="s">
        <v>27</v>
      </c>
      <c r="H329" t="s">
        <v>38</v>
      </c>
      <c r="I329">
        <v>11</v>
      </c>
      <c r="J329">
        <v>35000</v>
      </c>
      <c r="K329">
        <v>21000</v>
      </c>
      <c r="L329">
        <v>3.3000000000000002E-2</v>
      </c>
      <c r="M329">
        <v>1</v>
      </c>
      <c r="N329">
        <v>35</v>
      </c>
      <c r="O329">
        <v>33845</v>
      </c>
      <c r="P329">
        <v>372295</v>
      </c>
      <c r="Q329">
        <v>231000</v>
      </c>
      <c r="R329">
        <v>141295</v>
      </c>
      <c r="S329">
        <v>38</v>
      </c>
      <c r="T329">
        <v>0.06</v>
      </c>
      <c r="U329">
        <v>22337.7</v>
      </c>
    </row>
    <row r="330" spans="1:21" x14ac:dyDescent="0.2">
      <c r="A330" t="s">
        <v>391</v>
      </c>
      <c r="B330" t="s">
        <v>30</v>
      </c>
      <c r="C330" t="s">
        <v>35</v>
      </c>
      <c r="D330" t="s">
        <v>24</v>
      </c>
      <c r="E330" t="s">
        <v>25</v>
      </c>
      <c r="F330" t="s">
        <v>86</v>
      </c>
      <c r="G330" t="s">
        <v>87</v>
      </c>
      <c r="H330" t="s">
        <v>32</v>
      </c>
      <c r="I330">
        <v>1</v>
      </c>
      <c r="J330">
        <v>28000</v>
      </c>
      <c r="K330">
        <v>16800</v>
      </c>
      <c r="L330">
        <v>5.1999999999999998E-2</v>
      </c>
      <c r="M330">
        <v>0</v>
      </c>
      <c r="N330">
        <v>43</v>
      </c>
      <c r="O330">
        <v>26544</v>
      </c>
      <c r="P330">
        <v>26544</v>
      </c>
      <c r="Q330">
        <v>16800</v>
      </c>
      <c r="R330">
        <v>9744</v>
      </c>
      <c r="S330">
        <v>36.700000000000003</v>
      </c>
      <c r="T330">
        <v>0.06</v>
      </c>
      <c r="U330">
        <v>1592.64</v>
      </c>
    </row>
    <row r="331" spans="1:21" x14ac:dyDescent="0.2">
      <c r="A331" t="s">
        <v>392</v>
      </c>
      <c r="B331" t="s">
        <v>30</v>
      </c>
      <c r="C331" t="s">
        <v>35</v>
      </c>
      <c r="D331" t="s">
        <v>67</v>
      </c>
      <c r="E331" t="s">
        <v>41</v>
      </c>
      <c r="F331" t="s">
        <v>46</v>
      </c>
      <c r="G331" t="s">
        <v>47</v>
      </c>
      <c r="H331" t="s">
        <v>70</v>
      </c>
      <c r="I331">
        <v>11</v>
      </c>
      <c r="J331">
        <v>95000</v>
      </c>
      <c r="K331">
        <v>57000</v>
      </c>
      <c r="L331">
        <v>0.09</v>
      </c>
      <c r="M331">
        <v>1</v>
      </c>
      <c r="N331">
        <v>5</v>
      </c>
      <c r="O331">
        <v>86450</v>
      </c>
      <c r="P331">
        <v>950950</v>
      </c>
      <c r="Q331">
        <v>627000</v>
      </c>
      <c r="R331">
        <v>323950</v>
      </c>
      <c r="S331">
        <v>34.1</v>
      </c>
      <c r="T331">
        <v>2.5000000000000001E-2</v>
      </c>
      <c r="U331">
        <v>23773.75</v>
      </c>
    </row>
    <row r="332" spans="1:21" x14ac:dyDescent="0.2">
      <c r="A332" t="s">
        <v>393</v>
      </c>
      <c r="B332" t="s">
        <v>54</v>
      </c>
      <c r="C332" t="s">
        <v>50</v>
      </c>
      <c r="D332" t="s">
        <v>40</v>
      </c>
      <c r="E332" t="s">
        <v>41</v>
      </c>
      <c r="F332" t="s">
        <v>56</v>
      </c>
      <c r="G332" t="s">
        <v>57</v>
      </c>
      <c r="H332" t="s">
        <v>64</v>
      </c>
      <c r="I332">
        <v>2</v>
      </c>
      <c r="J332">
        <v>180000</v>
      </c>
      <c r="K332">
        <v>108000</v>
      </c>
      <c r="L332">
        <v>0.11799999999999999</v>
      </c>
      <c r="M332">
        <v>1</v>
      </c>
      <c r="N332">
        <v>18</v>
      </c>
      <c r="O332">
        <v>158760</v>
      </c>
      <c r="P332">
        <v>317520</v>
      </c>
      <c r="Q332">
        <v>216000</v>
      </c>
      <c r="R332">
        <v>101520</v>
      </c>
      <c r="S332">
        <v>32</v>
      </c>
      <c r="T332">
        <v>2.5000000000000001E-2</v>
      </c>
      <c r="U332">
        <v>7938</v>
      </c>
    </row>
    <row r="333" spans="1:21" x14ac:dyDescent="0.2">
      <c r="A333" t="s">
        <v>394</v>
      </c>
      <c r="B333" t="s">
        <v>30</v>
      </c>
      <c r="C333" t="s">
        <v>50</v>
      </c>
      <c r="D333" t="s">
        <v>67</v>
      </c>
      <c r="E333" t="s">
        <v>41</v>
      </c>
      <c r="F333" t="s">
        <v>46</v>
      </c>
      <c r="G333" t="s">
        <v>47</v>
      </c>
      <c r="H333" t="s">
        <v>75</v>
      </c>
      <c r="I333">
        <v>10</v>
      </c>
      <c r="J333">
        <v>95000</v>
      </c>
      <c r="K333">
        <v>57000</v>
      </c>
      <c r="L333">
        <v>0.11700000000000001</v>
      </c>
      <c r="M333">
        <v>1</v>
      </c>
      <c r="N333">
        <v>11</v>
      </c>
      <c r="O333">
        <v>83885</v>
      </c>
      <c r="P333">
        <v>838850</v>
      </c>
      <c r="Q333">
        <v>570000</v>
      </c>
      <c r="R333">
        <v>268850</v>
      </c>
      <c r="S333">
        <v>32</v>
      </c>
      <c r="T333">
        <v>2.5000000000000001E-2</v>
      </c>
      <c r="U333">
        <v>20971.25</v>
      </c>
    </row>
    <row r="334" spans="1:21" x14ac:dyDescent="0.2">
      <c r="A334" t="s">
        <v>395</v>
      </c>
      <c r="B334" t="s">
        <v>30</v>
      </c>
      <c r="C334" t="s">
        <v>44</v>
      </c>
      <c r="D334" t="s">
        <v>55</v>
      </c>
      <c r="E334" t="s">
        <v>41</v>
      </c>
      <c r="F334" t="s">
        <v>62</v>
      </c>
      <c r="G334" t="s">
        <v>57</v>
      </c>
      <c r="H334" t="s">
        <v>28</v>
      </c>
      <c r="I334">
        <v>5</v>
      </c>
      <c r="J334">
        <v>45000</v>
      </c>
      <c r="K334">
        <v>27000</v>
      </c>
      <c r="L334">
        <v>0.114</v>
      </c>
      <c r="M334">
        <v>1</v>
      </c>
      <c r="N334">
        <v>12</v>
      </c>
      <c r="O334">
        <v>39870</v>
      </c>
      <c r="P334">
        <v>199350</v>
      </c>
      <c r="Q334">
        <v>135000</v>
      </c>
      <c r="R334">
        <v>64350</v>
      </c>
      <c r="S334">
        <v>32.299999999999997</v>
      </c>
      <c r="T334">
        <v>2.5000000000000001E-2</v>
      </c>
      <c r="U334">
        <v>4983.75</v>
      </c>
    </row>
    <row r="335" spans="1:21" x14ac:dyDescent="0.2">
      <c r="A335" t="s">
        <v>396</v>
      </c>
      <c r="B335" t="s">
        <v>54</v>
      </c>
      <c r="C335" t="s">
        <v>23</v>
      </c>
      <c r="D335" t="s">
        <v>67</v>
      </c>
      <c r="E335" t="s">
        <v>41</v>
      </c>
      <c r="F335" t="s">
        <v>73</v>
      </c>
      <c r="G335" t="s">
        <v>74</v>
      </c>
      <c r="H335" t="s">
        <v>48</v>
      </c>
      <c r="I335">
        <v>9</v>
      </c>
      <c r="J335">
        <v>22000</v>
      </c>
      <c r="K335">
        <v>13200</v>
      </c>
      <c r="L335">
        <v>3.3000000000000002E-2</v>
      </c>
      <c r="M335">
        <v>1</v>
      </c>
      <c r="N335">
        <v>19</v>
      </c>
      <c r="O335">
        <v>21274</v>
      </c>
      <c r="P335">
        <v>191466</v>
      </c>
      <c r="Q335">
        <v>118800</v>
      </c>
      <c r="R335">
        <v>72666</v>
      </c>
      <c r="S335">
        <v>38</v>
      </c>
      <c r="T335">
        <v>2.5000000000000001E-2</v>
      </c>
      <c r="U335">
        <v>4786.6499999999996</v>
      </c>
    </row>
    <row r="336" spans="1:21" x14ac:dyDescent="0.2">
      <c r="A336" t="s">
        <v>397</v>
      </c>
      <c r="B336" t="s">
        <v>34</v>
      </c>
      <c r="C336" t="s">
        <v>35</v>
      </c>
      <c r="D336" t="s">
        <v>67</v>
      </c>
      <c r="E336" t="s">
        <v>41</v>
      </c>
      <c r="F336" t="s">
        <v>73</v>
      </c>
      <c r="G336" t="s">
        <v>74</v>
      </c>
      <c r="H336" t="s">
        <v>38</v>
      </c>
      <c r="I336">
        <v>11</v>
      </c>
      <c r="J336">
        <v>22000</v>
      </c>
      <c r="K336">
        <v>13200</v>
      </c>
      <c r="L336">
        <v>0.10199999999999999</v>
      </c>
      <c r="M336">
        <v>0</v>
      </c>
      <c r="N336">
        <v>11</v>
      </c>
      <c r="O336">
        <v>19756</v>
      </c>
      <c r="P336">
        <v>217316</v>
      </c>
      <c r="Q336">
        <v>145200</v>
      </c>
      <c r="R336">
        <v>72116</v>
      </c>
      <c r="S336">
        <v>33.200000000000003</v>
      </c>
      <c r="T336">
        <v>2.5000000000000001E-2</v>
      </c>
      <c r="U336">
        <v>5432.9</v>
      </c>
    </row>
    <row r="337" spans="1:21" x14ac:dyDescent="0.2">
      <c r="A337" t="s">
        <v>398</v>
      </c>
      <c r="B337" t="s">
        <v>54</v>
      </c>
      <c r="C337" t="s">
        <v>35</v>
      </c>
      <c r="D337" t="s">
        <v>45</v>
      </c>
      <c r="E337" t="s">
        <v>25</v>
      </c>
      <c r="F337" t="s">
        <v>56</v>
      </c>
      <c r="G337" t="s">
        <v>57</v>
      </c>
      <c r="H337" t="s">
        <v>42</v>
      </c>
      <c r="I337">
        <v>12</v>
      </c>
      <c r="J337">
        <v>180000</v>
      </c>
      <c r="K337">
        <v>108000</v>
      </c>
      <c r="L337">
        <v>6.8000000000000005E-2</v>
      </c>
      <c r="M337">
        <v>1</v>
      </c>
      <c r="N337">
        <v>17</v>
      </c>
      <c r="O337">
        <v>167760</v>
      </c>
      <c r="P337">
        <v>2013120</v>
      </c>
      <c r="Q337">
        <v>1296000</v>
      </c>
      <c r="R337">
        <v>717120</v>
      </c>
      <c r="S337">
        <v>35.6</v>
      </c>
      <c r="T337">
        <v>0.06</v>
      </c>
      <c r="U337">
        <v>120787.2</v>
      </c>
    </row>
    <row r="338" spans="1:21" x14ac:dyDescent="0.2">
      <c r="A338" t="s">
        <v>399</v>
      </c>
      <c r="B338" t="s">
        <v>30</v>
      </c>
      <c r="C338" t="s">
        <v>81</v>
      </c>
      <c r="D338" t="s">
        <v>31</v>
      </c>
      <c r="E338" t="s">
        <v>25</v>
      </c>
      <c r="F338" t="s">
        <v>46</v>
      </c>
      <c r="G338" t="s">
        <v>47</v>
      </c>
      <c r="H338" t="s">
        <v>75</v>
      </c>
      <c r="I338">
        <v>2</v>
      </c>
      <c r="J338">
        <v>95000</v>
      </c>
      <c r="K338">
        <v>57000</v>
      </c>
      <c r="L338">
        <v>4.2999999999999997E-2</v>
      </c>
      <c r="M338">
        <v>1</v>
      </c>
      <c r="N338">
        <v>28</v>
      </c>
      <c r="O338">
        <v>90915</v>
      </c>
      <c r="P338">
        <v>181830</v>
      </c>
      <c r="Q338">
        <v>114000</v>
      </c>
      <c r="R338">
        <v>67830</v>
      </c>
      <c r="S338">
        <v>37.299999999999997</v>
      </c>
      <c r="T338">
        <v>0.06</v>
      </c>
      <c r="U338">
        <v>10909.8</v>
      </c>
    </row>
    <row r="339" spans="1:21" x14ac:dyDescent="0.2">
      <c r="A339" t="s">
        <v>400</v>
      </c>
      <c r="B339" t="s">
        <v>30</v>
      </c>
      <c r="C339" t="s">
        <v>35</v>
      </c>
      <c r="D339" t="s">
        <v>67</v>
      </c>
      <c r="E339" t="s">
        <v>41</v>
      </c>
      <c r="F339" t="s">
        <v>26</v>
      </c>
      <c r="G339" t="s">
        <v>27</v>
      </c>
      <c r="H339" t="s">
        <v>64</v>
      </c>
      <c r="I339">
        <v>7</v>
      </c>
      <c r="J339">
        <v>35000</v>
      </c>
      <c r="K339">
        <v>21000</v>
      </c>
      <c r="L339">
        <v>0.125</v>
      </c>
      <c r="M339">
        <v>1</v>
      </c>
      <c r="N339">
        <v>4</v>
      </c>
      <c r="O339">
        <v>30625</v>
      </c>
      <c r="P339">
        <v>214375</v>
      </c>
      <c r="Q339">
        <v>147000</v>
      </c>
      <c r="R339">
        <v>67375</v>
      </c>
      <c r="S339">
        <v>31.4</v>
      </c>
      <c r="T339">
        <v>2.5000000000000001E-2</v>
      </c>
      <c r="U339">
        <v>5359.38</v>
      </c>
    </row>
    <row r="340" spans="1:21" x14ac:dyDescent="0.2">
      <c r="A340" t="s">
        <v>401</v>
      </c>
      <c r="B340" t="s">
        <v>30</v>
      </c>
      <c r="C340" t="s">
        <v>44</v>
      </c>
      <c r="D340" t="s">
        <v>67</v>
      </c>
      <c r="E340" t="s">
        <v>41</v>
      </c>
      <c r="F340" t="s">
        <v>51</v>
      </c>
      <c r="G340" t="s">
        <v>37</v>
      </c>
      <c r="H340" t="s">
        <v>32</v>
      </c>
      <c r="I340">
        <v>14</v>
      </c>
      <c r="J340">
        <v>32000</v>
      </c>
      <c r="K340">
        <v>19200</v>
      </c>
      <c r="L340">
        <v>8.9999999999999993E-3</v>
      </c>
      <c r="M340">
        <v>1</v>
      </c>
      <c r="N340">
        <v>19</v>
      </c>
      <c r="O340">
        <v>31712</v>
      </c>
      <c r="P340">
        <v>443968</v>
      </c>
      <c r="Q340">
        <v>268800</v>
      </c>
      <c r="R340">
        <v>175168</v>
      </c>
      <c r="S340">
        <v>39.5</v>
      </c>
      <c r="T340">
        <v>2.5000000000000001E-2</v>
      </c>
      <c r="U340">
        <v>11099.2</v>
      </c>
    </row>
    <row r="341" spans="1:21" x14ac:dyDescent="0.2">
      <c r="A341" t="s">
        <v>402</v>
      </c>
      <c r="B341" t="s">
        <v>22</v>
      </c>
      <c r="C341" t="s">
        <v>35</v>
      </c>
      <c r="D341" t="s">
        <v>83</v>
      </c>
      <c r="E341" t="s">
        <v>25</v>
      </c>
      <c r="F341" t="s">
        <v>86</v>
      </c>
      <c r="G341" t="s">
        <v>87</v>
      </c>
      <c r="H341" t="s">
        <v>64</v>
      </c>
      <c r="I341">
        <v>5</v>
      </c>
      <c r="J341">
        <v>28000</v>
      </c>
      <c r="K341">
        <v>16800</v>
      </c>
      <c r="L341">
        <v>0.03</v>
      </c>
      <c r="M341">
        <v>1</v>
      </c>
      <c r="N341">
        <v>27</v>
      </c>
      <c r="O341">
        <v>27160</v>
      </c>
      <c r="P341">
        <v>135800</v>
      </c>
      <c r="Q341">
        <v>84000</v>
      </c>
      <c r="R341">
        <v>51800</v>
      </c>
      <c r="S341">
        <v>38.1</v>
      </c>
      <c r="T341">
        <v>0.06</v>
      </c>
      <c r="U341">
        <v>8148</v>
      </c>
    </row>
    <row r="342" spans="1:21" x14ac:dyDescent="0.2">
      <c r="A342" t="s">
        <v>403</v>
      </c>
      <c r="B342" t="s">
        <v>30</v>
      </c>
      <c r="C342" t="s">
        <v>44</v>
      </c>
      <c r="D342" t="s">
        <v>40</v>
      </c>
      <c r="E342" t="s">
        <v>41</v>
      </c>
      <c r="F342" t="s">
        <v>51</v>
      </c>
      <c r="G342" t="s">
        <v>37</v>
      </c>
      <c r="H342" t="s">
        <v>42</v>
      </c>
      <c r="I342">
        <v>13</v>
      </c>
      <c r="J342">
        <v>32000</v>
      </c>
      <c r="K342">
        <v>19200</v>
      </c>
      <c r="L342">
        <v>5.7000000000000002E-2</v>
      </c>
      <c r="M342">
        <v>1</v>
      </c>
      <c r="N342">
        <v>42</v>
      </c>
      <c r="O342">
        <v>30176</v>
      </c>
      <c r="P342">
        <v>392288</v>
      </c>
      <c r="Q342">
        <v>249600</v>
      </c>
      <c r="R342">
        <v>142688</v>
      </c>
      <c r="S342">
        <v>36.4</v>
      </c>
      <c r="T342">
        <v>2.5000000000000001E-2</v>
      </c>
      <c r="U342">
        <v>9807.2000000000007</v>
      </c>
    </row>
    <row r="343" spans="1:21" x14ac:dyDescent="0.2">
      <c r="A343" t="s">
        <v>404</v>
      </c>
      <c r="B343" t="s">
        <v>54</v>
      </c>
      <c r="C343" t="s">
        <v>50</v>
      </c>
      <c r="D343" t="s">
        <v>31</v>
      </c>
      <c r="E343" t="s">
        <v>25</v>
      </c>
      <c r="F343" t="s">
        <v>26</v>
      </c>
      <c r="G343" t="s">
        <v>27</v>
      </c>
      <c r="H343" t="s">
        <v>32</v>
      </c>
      <c r="I343">
        <v>1</v>
      </c>
      <c r="J343">
        <v>35000</v>
      </c>
      <c r="K343">
        <v>21000</v>
      </c>
      <c r="L343">
        <v>0</v>
      </c>
      <c r="M343">
        <v>1</v>
      </c>
      <c r="N343">
        <v>43</v>
      </c>
      <c r="O343">
        <v>35000</v>
      </c>
      <c r="P343">
        <v>35000</v>
      </c>
      <c r="Q343">
        <v>21000</v>
      </c>
      <c r="R343">
        <v>14000</v>
      </c>
      <c r="S343">
        <v>40</v>
      </c>
      <c r="T343">
        <v>0.06</v>
      </c>
      <c r="U343">
        <v>2100</v>
      </c>
    </row>
    <row r="344" spans="1:21" x14ac:dyDescent="0.2">
      <c r="A344" t="s">
        <v>405</v>
      </c>
      <c r="B344" t="s">
        <v>22</v>
      </c>
      <c r="C344" t="s">
        <v>23</v>
      </c>
      <c r="D344" t="s">
        <v>67</v>
      </c>
      <c r="E344" t="s">
        <v>41</v>
      </c>
      <c r="F344" t="s">
        <v>73</v>
      </c>
      <c r="G344" t="s">
        <v>74</v>
      </c>
      <c r="H344" t="s">
        <v>59</v>
      </c>
      <c r="I344">
        <v>5</v>
      </c>
      <c r="J344">
        <v>22000</v>
      </c>
      <c r="K344">
        <v>13200</v>
      </c>
      <c r="L344">
        <v>0.185</v>
      </c>
      <c r="M344">
        <v>1</v>
      </c>
      <c r="N344">
        <v>33</v>
      </c>
      <c r="O344">
        <v>17930</v>
      </c>
      <c r="P344">
        <v>89650</v>
      </c>
      <c r="Q344">
        <v>66000</v>
      </c>
      <c r="R344">
        <v>23650</v>
      </c>
      <c r="S344">
        <v>26.4</v>
      </c>
      <c r="T344">
        <v>2.5000000000000001E-2</v>
      </c>
      <c r="U344">
        <v>2241.25</v>
      </c>
    </row>
    <row r="345" spans="1:21" x14ac:dyDescent="0.2">
      <c r="A345" t="s">
        <v>406</v>
      </c>
      <c r="B345" t="s">
        <v>54</v>
      </c>
      <c r="C345" t="s">
        <v>81</v>
      </c>
      <c r="D345" t="s">
        <v>67</v>
      </c>
      <c r="E345" t="s">
        <v>41</v>
      </c>
      <c r="F345" t="s">
        <v>51</v>
      </c>
      <c r="G345" t="s">
        <v>37</v>
      </c>
      <c r="H345" t="s">
        <v>64</v>
      </c>
      <c r="I345">
        <v>8</v>
      </c>
      <c r="J345">
        <v>32000</v>
      </c>
      <c r="K345">
        <v>19200</v>
      </c>
      <c r="L345">
        <v>0.08</v>
      </c>
      <c r="M345">
        <v>1</v>
      </c>
      <c r="N345">
        <v>37</v>
      </c>
      <c r="O345">
        <v>29440</v>
      </c>
      <c r="P345">
        <v>235520</v>
      </c>
      <c r="Q345">
        <v>153600</v>
      </c>
      <c r="R345">
        <v>81920</v>
      </c>
      <c r="S345">
        <v>34.799999999999997</v>
      </c>
      <c r="T345">
        <v>2.5000000000000001E-2</v>
      </c>
      <c r="U345">
        <v>5888</v>
      </c>
    </row>
    <row r="346" spans="1:21" x14ac:dyDescent="0.2">
      <c r="A346" t="s">
        <v>407</v>
      </c>
      <c r="B346" t="s">
        <v>34</v>
      </c>
      <c r="C346" t="s">
        <v>50</v>
      </c>
      <c r="D346" t="s">
        <v>55</v>
      </c>
      <c r="E346" t="s">
        <v>41</v>
      </c>
      <c r="F346" t="s">
        <v>62</v>
      </c>
      <c r="G346" t="s">
        <v>57</v>
      </c>
      <c r="H346" t="s">
        <v>64</v>
      </c>
      <c r="I346">
        <v>6</v>
      </c>
      <c r="J346">
        <v>45000</v>
      </c>
      <c r="K346">
        <v>27000</v>
      </c>
      <c r="L346">
        <v>0.13900000000000001</v>
      </c>
      <c r="M346">
        <v>0</v>
      </c>
      <c r="N346">
        <v>30</v>
      </c>
      <c r="O346">
        <v>38745</v>
      </c>
      <c r="P346">
        <v>232470</v>
      </c>
      <c r="Q346">
        <v>162000</v>
      </c>
      <c r="R346">
        <v>70470</v>
      </c>
      <c r="S346">
        <v>30.3</v>
      </c>
      <c r="T346">
        <v>2.5000000000000001E-2</v>
      </c>
      <c r="U346">
        <v>5811.75</v>
      </c>
    </row>
    <row r="347" spans="1:21" x14ac:dyDescent="0.2">
      <c r="A347" t="s">
        <v>408</v>
      </c>
      <c r="B347" t="s">
        <v>54</v>
      </c>
      <c r="C347" t="s">
        <v>23</v>
      </c>
      <c r="D347" t="s">
        <v>31</v>
      </c>
      <c r="E347" t="s">
        <v>25</v>
      </c>
      <c r="F347" t="s">
        <v>73</v>
      </c>
      <c r="G347" t="s">
        <v>74</v>
      </c>
      <c r="H347" t="s">
        <v>28</v>
      </c>
      <c r="I347">
        <v>3</v>
      </c>
      <c r="J347">
        <v>22000</v>
      </c>
      <c r="K347">
        <v>13200</v>
      </c>
      <c r="L347">
        <v>8.4000000000000005E-2</v>
      </c>
      <c r="M347">
        <v>1</v>
      </c>
      <c r="N347">
        <v>18</v>
      </c>
      <c r="O347">
        <v>20152</v>
      </c>
      <c r="P347">
        <v>60456</v>
      </c>
      <c r="Q347">
        <v>39600</v>
      </c>
      <c r="R347">
        <v>20856</v>
      </c>
      <c r="S347">
        <v>34.5</v>
      </c>
      <c r="T347">
        <v>0.06</v>
      </c>
      <c r="U347">
        <v>3627.36</v>
      </c>
    </row>
    <row r="348" spans="1:21" x14ac:dyDescent="0.2">
      <c r="A348" t="s">
        <v>409</v>
      </c>
      <c r="B348" t="s">
        <v>34</v>
      </c>
      <c r="C348" t="s">
        <v>35</v>
      </c>
      <c r="D348" t="s">
        <v>67</v>
      </c>
      <c r="E348" t="s">
        <v>41</v>
      </c>
      <c r="F348" t="s">
        <v>26</v>
      </c>
      <c r="G348" t="s">
        <v>27</v>
      </c>
      <c r="H348" t="s">
        <v>42</v>
      </c>
      <c r="I348">
        <v>8</v>
      </c>
      <c r="J348">
        <v>35000</v>
      </c>
      <c r="K348">
        <v>21000</v>
      </c>
      <c r="L348">
        <v>0.13</v>
      </c>
      <c r="M348">
        <v>1</v>
      </c>
      <c r="N348">
        <v>25</v>
      </c>
      <c r="O348">
        <v>30450</v>
      </c>
      <c r="P348">
        <v>243600</v>
      </c>
      <c r="Q348">
        <v>168000</v>
      </c>
      <c r="R348">
        <v>75600</v>
      </c>
      <c r="S348">
        <v>31</v>
      </c>
      <c r="T348">
        <v>2.5000000000000001E-2</v>
      </c>
      <c r="U348">
        <v>6090</v>
      </c>
    </row>
    <row r="349" spans="1:21" x14ac:dyDescent="0.2">
      <c r="A349" t="s">
        <v>410</v>
      </c>
      <c r="B349" t="s">
        <v>34</v>
      </c>
      <c r="C349" t="s">
        <v>81</v>
      </c>
      <c r="D349" t="s">
        <v>67</v>
      </c>
      <c r="E349" t="s">
        <v>41</v>
      </c>
      <c r="F349" t="s">
        <v>73</v>
      </c>
      <c r="G349" t="s">
        <v>74</v>
      </c>
      <c r="H349" t="s">
        <v>75</v>
      </c>
      <c r="I349">
        <v>10</v>
      </c>
      <c r="J349">
        <v>22000</v>
      </c>
      <c r="K349">
        <v>13200</v>
      </c>
      <c r="L349">
        <v>8.4000000000000005E-2</v>
      </c>
      <c r="M349">
        <v>0</v>
      </c>
      <c r="N349">
        <v>14</v>
      </c>
      <c r="O349">
        <v>20152</v>
      </c>
      <c r="P349">
        <v>201520</v>
      </c>
      <c r="Q349">
        <v>132000</v>
      </c>
      <c r="R349">
        <v>69520</v>
      </c>
      <c r="S349">
        <v>34.5</v>
      </c>
      <c r="T349">
        <v>2.5000000000000001E-2</v>
      </c>
      <c r="U349">
        <v>5038</v>
      </c>
    </row>
    <row r="350" spans="1:21" x14ac:dyDescent="0.2">
      <c r="A350" t="s">
        <v>411</v>
      </c>
      <c r="B350" t="s">
        <v>30</v>
      </c>
      <c r="C350" t="s">
        <v>35</v>
      </c>
      <c r="D350" t="s">
        <v>55</v>
      </c>
      <c r="E350" t="s">
        <v>41</v>
      </c>
      <c r="F350" t="s">
        <v>56</v>
      </c>
      <c r="G350" t="s">
        <v>57</v>
      </c>
      <c r="H350" t="s">
        <v>70</v>
      </c>
      <c r="I350">
        <v>2</v>
      </c>
      <c r="J350">
        <v>180000</v>
      </c>
      <c r="K350">
        <v>108000</v>
      </c>
      <c r="L350">
        <v>0.17699999999999999</v>
      </c>
      <c r="M350">
        <v>0</v>
      </c>
      <c r="N350">
        <v>15</v>
      </c>
      <c r="O350">
        <v>148140</v>
      </c>
      <c r="P350">
        <v>296280</v>
      </c>
      <c r="Q350">
        <v>216000</v>
      </c>
      <c r="R350">
        <v>80280</v>
      </c>
      <c r="S350">
        <v>27.1</v>
      </c>
      <c r="T350">
        <v>2.5000000000000001E-2</v>
      </c>
      <c r="U350">
        <v>7407</v>
      </c>
    </row>
    <row r="351" spans="1:21" x14ac:dyDescent="0.2">
      <c r="A351" t="s">
        <v>412</v>
      </c>
      <c r="B351" t="s">
        <v>34</v>
      </c>
      <c r="C351" t="s">
        <v>35</v>
      </c>
      <c r="D351" t="s">
        <v>67</v>
      </c>
      <c r="E351" t="s">
        <v>41</v>
      </c>
      <c r="F351" t="s">
        <v>73</v>
      </c>
      <c r="G351" t="s">
        <v>74</v>
      </c>
      <c r="H351" t="s">
        <v>38</v>
      </c>
      <c r="I351">
        <v>8</v>
      </c>
      <c r="J351">
        <v>22000</v>
      </c>
      <c r="K351">
        <v>13200</v>
      </c>
      <c r="L351">
        <v>4.7E-2</v>
      </c>
      <c r="M351">
        <v>0</v>
      </c>
      <c r="N351">
        <v>30</v>
      </c>
      <c r="O351">
        <v>20966</v>
      </c>
      <c r="P351">
        <v>167728</v>
      </c>
      <c r="Q351">
        <v>105600</v>
      </c>
      <c r="R351">
        <v>62128</v>
      </c>
      <c r="S351">
        <v>37</v>
      </c>
      <c r="T351">
        <v>2.5000000000000001E-2</v>
      </c>
      <c r="U351">
        <v>4193.2</v>
      </c>
    </row>
    <row r="352" spans="1:21" x14ac:dyDescent="0.2">
      <c r="A352" t="s">
        <v>413</v>
      </c>
      <c r="B352" t="s">
        <v>22</v>
      </c>
      <c r="C352" t="s">
        <v>81</v>
      </c>
      <c r="D352" t="s">
        <v>83</v>
      </c>
      <c r="E352" t="s">
        <v>25</v>
      </c>
      <c r="F352" t="s">
        <v>86</v>
      </c>
      <c r="G352" t="s">
        <v>87</v>
      </c>
      <c r="H352" t="s">
        <v>32</v>
      </c>
      <c r="I352">
        <v>11</v>
      </c>
      <c r="J352">
        <v>28000</v>
      </c>
      <c r="K352">
        <v>16800</v>
      </c>
      <c r="L352">
        <v>8.5999999999999993E-2</v>
      </c>
      <c r="M352">
        <v>1</v>
      </c>
      <c r="N352">
        <v>28</v>
      </c>
      <c r="O352">
        <v>25592</v>
      </c>
      <c r="P352">
        <v>281512</v>
      </c>
      <c r="Q352">
        <v>184800</v>
      </c>
      <c r="R352">
        <v>96712</v>
      </c>
      <c r="S352">
        <v>34.4</v>
      </c>
      <c r="T352">
        <v>0.06</v>
      </c>
      <c r="U352">
        <v>16890.72</v>
      </c>
    </row>
    <row r="353" spans="1:21" x14ac:dyDescent="0.2">
      <c r="A353" t="s">
        <v>414</v>
      </c>
      <c r="B353" t="s">
        <v>34</v>
      </c>
      <c r="C353" t="s">
        <v>50</v>
      </c>
      <c r="D353" t="s">
        <v>67</v>
      </c>
      <c r="E353" t="s">
        <v>41</v>
      </c>
      <c r="F353" t="s">
        <v>86</v>
      </c>
      <c r="G353" t="s">
        <v>87</v>
      </c>
      <c r="H353" t="s">
        <v>59</v>
      </c>
      <c r="I353">
        <v>5</v>
      </c>
      <c r="J353">
        <v>28000</v>
      </c>
      <c r="K353">
        <v>16800</v>
      </c>
      <c r="L353">
        <v>3.3000000000000002E-2</v>
      </c>
      <c r="M353">
        <v>1</v>
      </c>
      <c r="N353">
        <v>11</v>
      </c>
      <c r="O353">
        <v>27076</v>
      </c>
      <c r="P353">
        <v>135380</v>
      </c>
      <c r="Q353">
        <v>84000</v>
      </c>
      <c r="R353">
        <v>51380</v>
      </c>
      <c r="S353">
        <v>38</v>
      </c>
      <c r="T353">
        <v>2.5000000000000001E-2</v>
      </c>
      <c r="U353">
        <v>3384.5</v>
      </c>
    </row>
    <row r="354" spans="1:21" x14ac:dyDescent="0.2">
      <c r="A354" t="s">
        <v>415</v>
      </c>
      <c r="B354" t="s">
        <v>54</v>
      </c>
      <c r="C354" t="s">
        <v>44</v>
      </c>
      <c r="D354" t="s">
        <v>55</v>
      </c>
      <c r="E354" t="s">
        <v>41</v>
      </c>
      <c r="F354" t="s">
        <v>46</v>
      </c>
      <c r="G354" t="s">
        <v>47</v>
      </c>
      <c r="H354" t="s">
        <v>28</v>
      </c>
      <c r="I354">
        <v>10</v>
      </c>
      <c r="J354">
        <v>95000</v>
      </c>
      <c r="K354">
        <v>57000</v>
      </c>
      <c r="L354">
        <v>0.114</v>
      </c>
      <c r="M354">
        <v>0</v>
      </c>
      <c r="N354">
        <v>19</v>
      </c>
      <c r="O354">
        <v>84170</v>
      </c>
      <c r="P354">
        <v>841700</v>
      </c>
      <c r="Q354">
        <v>570000</v>
      </c>
      <c r="R354">
        <v>271700</v>
      </c>
      <c r="S354">
        <v>32.299999999999997</v>
      </c>
      <c r="T354">
        <v>2.5000000000000001E-2</v>
      </c>
      <c r="U354">
        <v>21042.5</v>
      </c>
    </row>
    <row r="355" spans="1:21" x14ac:dyDescent="0.2">
      <c r="A355" t="s">
        <v>416</v>
      </c>
      <c r="B355" t="s">
        <v>22</v>
      </c>
      <c r="C355" t="s">
        <v>35</v>
      </c>
      <c r="D355" t="s">
        <v>83</v>
      </c>
      <c r="E355" t="s">
        <v>25</v>
      </c>
      <c r="F355" t="s">
        <v>46</v>
      </c>
      <c r="G355" t="s">
        <v>47</v>
      </c>
      <c r="H355" t="s">
        <v>64</v>
      </c>
      <c r="I355">
        <v>10</v>
      </c>
      <c r="J355">
        <v>95000</v>
      </c>
      <c r="K355">
        <v>57000</v>
      </c>
      <c r="L355">
        <v>0.115</v>
      </c>
      <c r="M355">
        <v>1</v>
      </c>
      <c r="N355">
        <v>13</v>
      </c>
      <c r="O355">
        <v>84075</v>
      </c>
      <c r="P355">
        <v>840750</v>
      </c>
      <c r="Q355">
        <v>570000</v>
      </c>
      <c r="R355">
        <v>270750</v>
      </c>
      <c r="S355">
        <v>32.200000000000003</v>
      </c>
      <c r="T355">
        <v>0.06</v>
      </c>
      <c r="U355">
        <v>50445</v>
      </c>
    </row>
    <row r="356" spans="1:21" x14ac:dyDescent="0.2">
      <c r="A356" t="s">
        <v>417</v>
      </c>
      <c r="B356" t="s">
        <v>22</v>
      </c>
      <c r="C356" t="s">
        <v>44</v>
      </c>
      <c r="D356" t="s">
        <v>55</v>
      </c>
      <c r="E356" t="s">
        <v>41</v>
      </c>
      <c r="F356" t="s">
        <v>56</v>
      </c>
      <c r="G356" t="s">
        <v>57</v>
      </c>
      <c r="H356" t="s">
        <v>70</v>
      </c>
      <c r="I356">
        <v>5</v>
      </c>
      <c r="J356">
        <v>180000</v>
      </c>
      <c r="K356">
        <v>108000</v>
      </c>
      <c r="L356">
        <v>0.17199999999999999</v>
      </c>
      <c r="M356">
        <v>1</v>
      </c>
      <c r="N356">
        <v>18</v>
      </c>
      <c r="O356">
        <v>149040</v>
      </c>
      <c r="P356">
        <v>745200</v>
      </c>
      <c r="Q356">
        <v>540000</v>
      </c>
      <c r="R356">
        <v>205200</v>
      </c>
      <c r="S356">
        <v>27.5</v>
      </c>
      <c r="T356">
        <v>2.5000000000000001E-2</v>
      </c>
      <c r="U356">
        <v>18630</v>
      </c>
    </row>
    <row r="357" spans="1:21" x14ac:dyDescent="0.2">
      <c r="A357" t="s">
        <v>418</v>
      </c>
      <c r="B357" t="s">
        <v>30</v>
      </c>
      <c r="C357" t="s">
        <v>23</v>
      </c>
      <c r="D357" t="s">
        <v>67</v>
      </c>
      <c r="E357" t="s">
        <v>41</v>
      </c>
      <c r="F357" t="s">
        <v>62</v>
      </c>
      <c r="G357" t="s">
        <v>57</v>
      </c>
      <c r="H357" t="s">
        <v>64</v>
      </c>
      <c r="I357">
        <v>4</v>
      </c>
      <c r="J357">
        <v>45000</v>
      </c>
      <c r="K357">
        <v>27000</v>
      </c>
      <c r="L357">
        <v>1.9E-2</v>
      </c>
      <c r="M357">
        <v>0</v>
      </c>
      <c r="N357">
        <v>30</v>
      </c>
      <c r="O357">
        <v>44145</v>
      </c>
      <c r="P357">
        <v>176580</v>
      </c>
      <c r="Q357">
        <v>108000</v>
      </c>
      <c r="R357">
        <v>68580</v>
      </c>
      <c r="S357">
        <v>38.799999999999997</v>
      </c>
      <c r="T357">
        <v>2.5000000000000001E-2</v>
      </c>
      <c r="U357">
        <v>4414.5</v>
      </c>
    </row>
    <row r="358" spans="1:21" x14ac:dyDescent="0.2">
      <c r="A358" t="s">
        <v>419</v>
      </c>
      <c r="B358" t="s">
        <v>30</v>
      </c>
      <c r="C358" t="s">
        <v>50</v>
      </c>
      <c r="D358" t="s">
        <v>24</v>
      </c>
      <c r="E358" t="s">
        <v>25</v>
      </c>
      <c r="F358" t="s">
        <v>51</v>
      </c>
      <c r="G358" t="s">
        <v>37</v>
      </c>
      <c r="H358" t="s">
        <v>42</v>
      </c>
      <c r="I358">
        <v>8</v>
      </c>
      <c r="J358">
        <v>32000</v>
      </c>
      <c r="K358">
        <v>19200</v>
      </c>
      <c r="L358">
        <v>1.9E-2</v>
      </c>
      <c r="M358">
        <v>1</v>
      </c>
      <c r="N358">
        <v>38</v>
      </c>
      <c r="O358">
        <v>31392</v>
      </c>
      <c r="P358">
        <v>251136</v>
      </c>
      <c r="Q358">
        <v>153600</v>
      </c>
      <c r="R358">
        <v>97536</v>
      </c>
      <c r="S358">
        <v>38.799999999999997</v>
      </c>
      <c r="T358">
        <v>0.06</v>
      </c>
      <c r="U358">
        <v>15068.16</v>
      </c>
    </row>
    <row r="359" spans="1:21" x14ac:dyDescent="0.2">
      <c r="A359" t="s">
        <v>420</v>
      </c>
      <c r="B359" t="s">
        <v>30</v>
      </c>
      <c r="C359" t="s">
        <v>50</v>
      </c>
      <c r="D359" t="s">
        <v>40</v>
      </c>
      <c r="E359" t="s">
        <v>41</v>
      </c>
      <c r="F359" t="s">
        <v>86</v>
      </c>
      <c r="G359" t="s">
        <v>87</v>
      </c>
      <c r="H359" t="s">
        <v>70</v>
      </c>
      <c r="I359">
        <v>9</v>
      </c>
      <c r="J359">
        <v>28000</v>
      </c>
      <c r="K359">
        <v>16800</v>
      </c>
      <c r="L359">
        <v>3.7999999999999999E-2</v>
      </c>
      <c r="M359">
        <v>1</v>
      </c>
      <c r="N359">
        <v>14</v>
      </c>
      <c r="O359">
        <v>26936</v>
      </c>
      <c r="P359">
        <v>242424</v>
      </c>
      <c r="Q359">
        <v>151200</v>
      </c>
      <c r="R359">
        <v>91224</v>
      </c>
      <c r="S359">
        <v>37.6</v>
      </c>
      <c r="T359">
        <v>2.5000000000000001E-2</v>
      </c>
      <c r="U359">
        <v>6060.6</v>
      </c>
    </row>
    <row r="360" spans="1:21" x14ac:dyDescent="0.2">
      <c r="A360" t="s">
        <v>421</v>
      </c>
      <c r="B360" t="s">
        <v>34</v>
      </c>
      <c r="C360" t="s">
        <v>44</v>
      </c>
      <c r="D360" t="s">
        <v>40</v>
      </c>
      <c r="E360" t="s">
        <v>41</v>
      </c>
      <c r="F360" t="s">
        <v>56</v>
      </c>
      <c r="G360" t="s">
        <v>57</v>
      </c>
      <c r="H360" t="s">
        <v>70</v>
      </c>
      <c r="I360">
        <v>2</v>
      </c>
      <c r="J360">
        <v>180000</v>
      </c>
      <c r="K360">
        <v>108000</v>
      </c>
      <c r="L360">
        <v>0.186</v>
      </c>
      <c r="M360">
        <v>0</v>
      </c>
      <c r="N360">
        <v>17</v>
      </c>
      <c r="O360">
        <v>146520</v>
      </c>
      <c r="P360">
        <v>293040</v>
      </c>
      <c r="Q360">
        <v>216000</v>
      </c>
      <c r="R360">
        <v>77040</v>
      </c>
      <c r="S360">
        <v>26.3</v>
      </c>
      <c r="T360">
        <v>2.5000000000000001E-2</v>
      </c>
      <c r="U360">
        <v>7326</v>
      </c>
    </row>
    <row r="361" spans="1:21" x14ac:dyDescent="0.2">
      <c r="A361" t="s">
        <v>422</v>
      </c>
      <c r="B361" t="s">
        <v>22</v>
      </c>
      <c r="C361" t="s">
        <v>81</v>
      </c>
      <c r="D361" t="s">
        <v>55</v>
      </c>
      <c r="E361" t="s">
        <v>41</v>
      </c>
      <c r="F361" t="s">
        <v>62</v>
      </c>
      <c r="G361" t="s">
        <v>57</v>
      </c>
      <c r="H361" t="s">
        <v>48</v>
      </c>
      <c r="I361">
        <v>4</v>
      </c>
      <c r="J361">
        <v>45000</v>
      </c>
      <c r="K361">
        <v>27000</v>
      </c>
      <c r="L361">
        <v>4.3999999999999997E-2</v>
      </c>
      <c r="M361">
        <v>1</v>
      </c>
      <c r="N361">
        <v>40</v>
      </c>
      <c r="O361">
        <v>43020</v>
      </c>
      <c r="P361">
        <v>172080</v>
      </c>
      <c r="Q361">
        <v>108000</v>
      </c>
      <c r="R361">
        <v>64080</v>
      </c>
      <c r="S361">
        <v>37.200000000000003</v>
      </c>
      <c r="T361">
        <v>2.5000000000000001E-2</v>
      </c>
      <c r="U361">
        <v>4302</v>
      </c>
    </row>
    <row r="362" spans="1:21" x14ac:dyDescent="0.2">
      <c r="A362" t="s">
        <v>423</v>
      </c>
      <c r="B362" t="s">
        <v>22</v>
      </c>
      <c r="C362" t="s">
        <v>35</v>
      </c>
      <c r="D362" t="s">
        <v>31</v>
      </c>
      <c r="E362" t="s">
        <v>25</v>
      </c>
      <c r="F362" t="s">
        <v>46</v>
      </c>
      <c r="G362" t="s">
        <v>47</v>
      </c>
      <c r="H362" t="s">
        <v>75</v>
      </c>
      <c r="I362">
        <v>8</v>
      </c>
      <c r="J362">
        <v>95000</v>
      </c>
      <c r="K362">
        <v>57000</v>
      </c>
      <c r="L362">
        <v>4.5999999999999999E-2</v>
      </c>
      <c r="M362">
        <v>1</v>
      </c>
      <c r="N362">
        <v>3</v>
      </c>
      <c r="O362">
        <v>90630</v>
      </c>
      <c r="P362">
        <v>725040</v>
      </c>
      <c r="Q362">
        <v>456000</v>
      </c>
      <c r="R362">
        <v>269040</v>
      </c>
      <c r="S362">
        <v>37.1</v>
      </c>
      <c r="T362">
        <v>0.06</v>
      </c>
      <c r="U362">
        <v>43502.400000000001</v>
      </c>
    </row>
    <row r="363" spans="1:21" x14ac:dyDescent="0.2">
      <c r="A363" t="s">
        <v>424</v>
      </c>
      <c r="B363" t="s">
        <v>34</v>
      </c>
      <c r="C363" t="s">
        <v>35</v>
      </c>
      <c r="D363" t="s">
        <v>83</v>
      </c>
      <c r="E363" t="s">
        <v>25</v>
      </c>
      <c r="F363" t="s">
        <v>56</v>
      </c>
      <c r="G363" t="s">
        <v>57</v>
      </c>
      <c r="H363" t="s">
        <v>42</v>
      </c>
      <c r="I363">
        <v>1</v>
      </c>
      <c r="J363">
        <v>180000</v>
      </c>
      <c r="K363">
        <v>108000</v>
      </c>
      <c r="L363">
        <v>4.2999999999999997E-2</v>
      </c>
      <c r="M363">
        <v>1</v>
      </c>
      <c r="N363">
        <v>34</v>
      </c>
      <c r="O363">
        <v>172260</v>
      </c>
      <c r="P363">
        <v>172260</v>
      </c>
      <c r="Q363">
        <v>108000</v>
      </c>
      <c r="R363">
        <v>64260</v>
      </c>
      <c r="S363">
        <v>37.299999999999997</v>
      </c>
      <c r="T363">
        <v>0.06</v>
      </c>
      <c r="U363">
        <v>10335.6</v>
      </c>
    </row>
    <row r="364" spans="1:21" x14ac:dyDescent="0.2">
      <c r="A364" t="s">
        <v>425</v>
      </c>
      <c r="B364" t="s">
        <v>34</v>
      </c>
      <c r="C364" t="s">
        <v>50</v>
      </c>
      <c r="D364" t="s">
        <v>45</v>
      </c>
      <c r="E364" t="s">
        <v>25</v>
      </c>
      <c r="F364" t="s">
        <v>51</v>
      </c>
      <c r="G364" t="s">
        <v>37</v>
      </c>
      <c r="H364" t="s">
        <v>38</v>
      </c>
      <c r="I364">
        <v>5</v>
      </c>
      <c r="J364">
        <v>32000</v>
      </c>
      <c r="K364">
        <v>19200</v>
      </c>
      <c r="L364">
        <v>5.3999999999999999E-2</v>
      </c>
      <c r="M364">
        <v>0</v>
      </c>
      <c r="N364">
        <v>28</v>
      </c>
      <c r="O364">
        <v>30272</v>
      </c>
      <c r="P364">
        <v>151360</v>
      </c>
      <c r="Q364">
        <v>96000</v>
      </c>
      <c r="R364">
        <v>55360</v>
      </c>
      <c r="S364">
        <v>36.6</v>
      </c>
      <c r="T364">
        <v>0.06</v>
      </c>
      <c r="U364">
        <v>9081.6</v>
      </c>
    </row>
    <row r="365" spans="1:21" x14ac:dyDescent="0.2">
      <c r="A365" t="s">
        <v>426</v>
      </c>
      <c r="B365" t="s">
        <v>34</v>
      </c>
      <c r="C365" t="s">
        <v>23</v>
      </c>
      <c r="D365" t="s">
        <v>55</v>
      </c>
      <c r="E365" t="s">
        <v>41</v>
      </c>
      <c r="F365" t="s">
        <v>62</v>
      </c>
      <c r="G365" t="s">
        <v>57</v>
      </c>
      <c r="H365" t="s">
        <v>59</v>
      </c>
      <c r="I365">
        <v>1</v>
      </c>
      <c r="J365">
        <v>45000</v>
      </c>
      <c r="K365">
        <v>27000</v>
      </c>
      <c r="L365">
        <v>8.6999999999999994E-2</v>
      </c>
      <c r="M365">
        <v>1</v>
      </c>
      <c r="N365">
        <v>21</v>
      </c>
      <c r="O365">
        <v>41085</v>
      </c>
      <c r="P365">
        <v>41085</v>
      </c>
      <c r="Q365">
        <v>27000</v>
      </c>
      <c r="R365">
        <v>14085</v>
      </c>
      <c r="S365">
        <v>34.299999999999997</v>
      </c>
      <c r="T365">
        <v>2.5000000000000001E-2</v>
      </c>
      <c r="U365">
        <v>1027.1199999999999</v>
      </c>
    </row>
    <row r="366" spans="1:21" x14ac:dyDescent="0.2">
      <c r="A366" t="s">
        <v>427</v>
      </c>
      <c r="B366" t="s">
        <v>30</v>
      </c>
      <c r="C366" t="s">
        <v>44</v>
      </c>
      <c r="D366" t="s">
        <v>40</v>
      </c>
      <c r="E366" t="s">
        <v>41</v>
      </c>
      <c r="F366" t="s">
        <v>73</v>
      </c>
      <c r="G366" t="s">
        <v>74</v>
      </c>
      <c r="H366" t="s">
        <v>48</v>
      </c>
      <c r="I366">
        <v>5</v>
      </c>
      <c r="J366">
        <v>22000</v>
      </c>
      <c r="K366">
        <v>13200</v>
      </c>
      <c r="L366">
        <v>0.2</v>
      </c>
      <c r="M366">
        <v>1</v>
      </c>
      <c r="N366">
        <v>15</v>
      </c>
      <c r="O366">
        <v>17600</v>
      </c>
      <c r="P366">
        <v>88000</v>
      </c>
      <c r="Q366">
        <v>66000</v>
      </c>
      <c r="R366">
        <v>22000</v>
      </c>
      <c r="S366">
        <v>25</v>
      </c>
      <c r="T366">
        <v>2.5000000000000001E-2</v>
      </c>
      <c r="U366">
        <v>2200</v>
      </c>
    </row>
    <row r="367" spans="1:21" x14ac:dyDescent="0.2">
      <c r="A367" t="s">
        <v>428</v>
      </c>
      <c r="B367" t="s">
        <v>34</v>
      </c>
      <c r="C367" t="s">
        <v>35</v>
      </c>
      <c r="D367" t="s">
        <v>24</v>
      </c>
      <c r="E367" t="s">
        <v>25</v>
      </c>
      <c r="F367" t="s">
        <v>36</v>
      </c>
      <c r="G367" t="s">
        <v>37</v>
      </c>
      <c r="H367" t="s">
        <v>32</v>
      </c>
      <c r="I367">
        <v>10</v>
      </c>
      <c r="J367">
        <v>8500</v>
      </c>
      <c r="K367">
        <v>5100</v>
      </c>
      <c r="L367">
        <v>6.5000000000000002E-2</v>
      </c>
      <c r="M367">
        <v>1</v>
      </c>
      <c r="N367">
        <v>39</v>
      </c>
      <c r="O367">
        <v>7947.5</v>
      </c>
      <c r="P367">
        <v>79475</v>
      </c>
      <c r="Q367">
        <v>51000</v>
      </c>
      <c r="R367">
        <v>28475</v>
      </c>
      <c r="S367">
        <v>35.799999999999997</v>
      </c>
      <c r="T367">
        <v>0.06</v>
      </c>
      <c r="U367">
        <v>4768.5</v>
      </c>
    </row>
    <row r="368" spans="1:21" x14ac:dyDescent="0.2">
      <c r="A368" t="s">
        <v>429</v>
      </c>
      <c r="B368" t="s">
        <v>22</v>
      </c>
      <c r="C368" t="s">
        <v>81</v>
      </c>
      <c r="D368" t="s">
        <v>67</v>
      </c>
      <c r="E368" t="s">
        <v>41</v>
      </c>
      <c r="F368" t="s">
        <v>36</v>
      </c>
      <c r="G368" t="s">
        <v>37</v>
      </c>
      <c r="H368" t="s">
        <v>64</v>
      </c>
      <c r="I368">
        <v>2</v>
      </c>
      <c r="J368">
        <v>8500</v>
      </c>
      <c r="K368">
        <v>5100</v>
      </c>
      <c r="L368">
        <v>0.11700000000000001</v>
      </c>
      <c r="M368">
        <v>1</v>
      </c>
      <c r="N368">
        <v>29</v>
      </c>
      <c r="O368">
        <v>7505.5</v>
      </c>
      <c r="P368">
        <v>15011</v>
      </c>
      <c r="Q368">
        <v>10200</v>
      </c>
      <c r="R368">
        <v>4811</v>
      </c>
      <c r="S368">
        <v>32</v>
      </c>
      <c r="T368">
        <v>2.5000000000000001E-2</v>
      </c>
      <c r="U368">
        <v>375.28</v>
      </c>
    </row>
    <row r="369" spans="1:21" x14ac:dyDescent="0.2">
      <c r="A369" t="s">
        <v>430</v>
      </c>
      <c r="B369" t="s">
        <v>54</v>
      </c>
      <c r="C369" t="s">
        <v>50</v>
      </c>
      <c r="D369" t="s">
        <v>45</v>
      </c>
      <c r="E369" t="s">
        <v>25</v>
      </c>
      <c r="F369" t="s">
        <v>36</v>
      </c>
      <c r="G369" t="s">
        <v>37</v>
      </c>
      <c r="H369" t="s">
        <v>64</v>
      </c>
      <c r="I369">
        <v>11</v>
      </c>
      <c r="J369">
        <v>8500</v>
      </c>
      <c r="K369">
        <v>5100</v>
      </c>
      <c r="L369">
        <v>5.0000000000000001E-3</v>
      </c>
      <c r="M369">
        <v>1</v>
      </c>
      <c r="N369">
        <v>15</v>
      </c>
      <c r="O369">
        <v>8457.5</v>
      </c>
      <c r="P369">
        <v>93032.5</v>
      </c>
      <c r="Q369">
        <v>56100</v>
      </c>
      <c r="R369">
        <v>36932.5</v>
      </c>
      <c r="S369">
        <v>39.700000000000003</v>
      </c>
      <c r="T369">
        <v>0.06</v>
      </c>
      <c r="U369">
        <v>5581.95</v>
      </c>
    </row>
    <row r="370" spans="1:21" x14ac:dyDescent="0.2">
      <c r="A370" t="s">
        <v>431</v>
      </c>
      <c r="B370" t="s">
        <v>30</v>
      </c>
      <c r="C370" t="s">
        <v>50</v>
      </c>
      <c r="D370" t="s">
        <v>45</v>
      </c>
      <c r="E370" t="s">
        <v>25</v>
      </c>
      <c r="F370" t="s">
        <v>73</v>
      </c>
      <c r="G370" t="s">
        <v>74</v>
      </c>
      <c r="H370" t="s">
        <v>48</v>
      </c>
      <c r="I370">
        <v>3</v>
      </c>
      <c r="J370">
        <v>22000</v>
      </c>
      <c r="K370">
        <v>13200</v>
      </c>
      <c r="L370">
        <v>6.3E-2</v>
      </c>
      <c r="M370">
        <v>1</v>
      </c>
      <c r="N370">
        <v>24</v>
      </c>
      <c r="O370">
        <v>20614</v>
      </c>
      <c r="P370">
        <v>61842</v>
      </c>
      <c r="Q370">
        <v>39600</v>
      </c>
      <c r="R370">
        <v>22242</v>
      </c>
      <c r="S370">
        <v>36</v>
      </c>
      <c r="T370">
        <v>0.06</v>
      </c>
      <c r="U370">
        <v>3710.52</v>
      </c>
    </row>
    <row r="371" spans="1:21" x14ac:dyDescent="0.2">
      <c r="A371" t="s">
        <v>432</v>
      </c>
      <c r="B371" t="s">
        <v>34</v>
      </c>
      <c r="C371" t="s">
        <v>50</v>
      </c>
      <c r="D371" t="s">
        <v>67</v>
      </c>
      <c r="E371" t="s">
        <v>41</v>
      </c>
      <c r="F371" t="s">
        <v>62</v>
      </c>
      <c r="G371" t="s">
        <v>57</v>
      </c>
      <c r="H371" t="s">
        <v>64</v>
      </c>
      <c r="I371">
        <v>8</v>
      </c>
      <c r="J371">
        <v>45000</v>
      </c>
      <c r="K371">
        <v>27000</v>
      </c>
      <c r="L371">
        <v>0.11700000000000001</v>
      </c>
      <c r="M371">
        <v>1</v>
      </c>
      <c r="N371">
        <v>8</v>
      </c>
      <c r="O371">
        <v>39735</v>
      </c>
      <c r="P371">
        <v>317880</v>
      </c>
      <c r="Q371">
        <v>216000</v>
      </c>
      <c r="R371">
        <v>101880</v>
      </c>
      <c r="S371">
        <v>32</v>
      </c>
      <c r="T371">
        <v>2.5000000000000001E-2</v>
      </c>
      <c r="U371">
        <v>7947</v>
      </c>
    </row>
    <row r="372" spans="1:21" x14ac:dyDescent="0.2">
      <c r="A372" t="s">
        <v>433</v>
      </c>
      <c r="B372" t="s">
        <v>22</v>
      </c>
      <c r="C372" t="s">
        <v>35</v>
      </c>
      <c r="D372" t="s">
        <v>67</v>
      </c>
      <c r="E372" t="s">
        <v>41</v>
      </c>
      <c r="F372" t="s">
        <v>36</v>
      </c>
      <c r="G372" t="s">
        <v>37</v>
      </c>
      <c r="H372" t="s">
        <v>52</v>
      </c>
      <c r="I372">
        <v>7</v>
      </c>
      <c r="J372">
        <v>8500</v>
      </c>
      <c r="K372">
        <v>5100</v>
      </c>
      <c r="L372">
        <v>8.7999999999999995E-2</v>
      </c>
      <c r="M372">
        <v>1</v>
      </c>
      <c r="N372">
        <v>34</v>
      </c>
      <c r="O372">
        <v>7752</v>
      </c>
      <c r="P372">
        <v>54264</v>
      </c>
      <c r="Q372">
        <v>35700</v>
      </c>
      <c r="R372">
        <v>18564</v>
      </c>
      <c r="S372">
        <v>34.200000000000003</v>
      </c>
      <c r="T372">
        <v>2.5000000000000001E-2</v>
      </c>
      <c r="U372">
        <v>1356.6</v>
      </c>
    </row>
    <row r="373" spans="1:21" x14ac:dyDescent="0.2">
      <c r="A373" t="s">
        <v>434</v>
      </c>
      <c r="B373" t="s">
        <v>30</v>
      </c>
      <c r="C373" t="s">
        <v>81</v>
      </c>
      <c r="D373" t="s">
        <v>31</v>
      </c>
      <c r="E373" t="s">
        <v>25</v>
      </c>
      <c r="F373" t="s">
        <v>62</v>
      </c>
      <c r="G373" t="s">
        <v>57</v>
      </c>
      <c r="H373" t="s">
        <v>70</v>
      </c>
      <c r="I373">
        <v>4</v>
      </c>
      <c r="J373">
        <v>45000</v>
      </c>
      <c r="K373">
        <v>27000</v>
      </c>
      <c r="L373">
        <v>2.3E-2</v>
      </c>
      <c r="M373">
        <v>1</v>
      </c>
      <c r="N373">
        <v>10</v>
      </c>
      <c r="O373">
        <v>43965</v>
      </c>
      <c r="P373">
        <v>175860</v>
      </c>
      <c r="Q373">
        <v>108000</v>
      </c>
      <c r="R373">
        <v>67860</v>
      </c>
      <c r="S373">
        <v>38.6</v>
      </c>
      <c r="T373">
        <v>0.06</v>
      </c>
      <c r="U373">
        <v>10551.6</v>
      </c>
    </row>
    <row r="374" spans="1:21" x14ac:dyDescent="0.2">
      <c r="A374" t="s">
        <v>435</v>
      </c>
      <c r="B374" t="s">
        <v>34</v>
      </c>
      <c r="C374" t="s">
        <v>35</v>
      </c>
      <c r="D374" t="s">
        <v>67</v>
      </c>
      <c r="E374" t="s">
        <v>41</v>
      </c>
      <c r="F374" t="s">
        <v>73</v>
      </c>
      <c r="G374" t="s">
        <v>74</v>
      </c>
      <c r="H374" t="s">
        <v>59</v>
      </c>
      <c r="I374">
        <v>5</v>
      </c>
      <c r="J374">
        <v>22000</v>
      </c>
      <c r="K374">
        <v>13200</v>
      </c>
      <c r="L374">
        <v>0.17100000000000001</v>
      </c>
      <c r="M374">
        <v>1</v>
      </c>
      <c r="N374">
        <v>36</v>
      </c>
      <c r="O374">
        <v>18238</v>
      </c>
      <c r="P374">
        <v>91190</v>
      </c>
      <c r="Q374">
        <v>66000</v>
      </c>
      <c r="R374">
        <v>25190</v>
      </c>
      <c r="S374">
        <v>27.6</v>
      </c>
      <c r="T374">
        <v>2.5000000000000001E-2</v>
      </c>
      <c r="U374">
        <v>2279.75</v>
      </c>
    </row>
    <row r="375" spans="1:21" x14ac:dyDescent="0.2">
      <c r="A375" t="s">
        <v>436</v>
      </c>
      <c r="B375" t="s">
        <v>22</v>
      </c>
      <c r="C375" t="s">
        <v>35</v>
      </c>
      <c r="D375" t="s">
        <v>40</v>
      </c>
      <c r="E375" t="s">
        <v>41</v>
      </c>
      <c r="F375" t="s">
        <v>26</v>
      </c>
      <c r="G375" t="s">
        <v>27</v>
      </c>
      <c r="H375" t="s">
        <v>52</v>
      </c>
      <c r="I375">
        <v>9</v>
      </c>
      <c r="J375">
        <v>35000</v>
      </c>
      <c r="K375">
        <v>21000</v>
      </c>
      <c r="L375">
        <v>0.2</v>
      </c>
      <c r="M375">
        <v>0</v>
      </c>
      <c r="N375">
        <v>12</v>
      </c>
      <c r="O375">
        <v>28000</v>
      </c>
      <c r="P375">
        <v>252000</v>
      </c>
      <c r="Q375">
        <v>189000</v>
      </c>
      <c r="R375">
        <v>63000</v>
      </c>
      <c r="S375">
        <v>25</v>
      </c>
      <c r="T375">
        <v>2.5000000000000001E-2</v>
      </c>
      <c r="U375">
        <v>6300</v>
      </c>
    </row>
    <row r="376" spans="1:21" x14ac:dyDescent="0.2">
      <c r="A376" t="s">
        <v>437</v>
      </c>
      <c r="B376" t="s">
        <v>30</v>
      </c>
      <c r="C376" t="s">
        <v>50</v>
      </c>
      <c r="D376" t="s">
        <v>40</v>
      </c>
      <c r="E376" t="s">
        <v>41</v>
      </c>
      <c r="F376" t="s">
        <v>51</v>
      </c>
      <c r="G376" t="s">
        <v>37</v>
      </c>
      <c r="H376" t="s">
        <v>42</v>
      </c>
      <c r="I376">
        <v>9</v>
      </c>
      <c r="J376">
        <v>32000</v>
      </c>
      <c r="K376">
        <v>19200</v>
      </c>
      <c r="L376">
        <v>7.6999999999999999E-2</v>
      </c>
      <c r="M376">
        <v>1</v>
      </c>
      <c r="N376">
        <v>44</v>
      </c>
      <c r="O376">
        <v>29536</v>
      </c>
      <c r="P376">
        <v>265824</v>
      </c>
      <c r="Q376">
        <v>172800</v>
      </c>
      <c r="R376">
        <v>93024</v>
      </c>
      <c r="S376">
        <v>35</v>
      </c>
      <c r="T376">
        <v>2.5000000000000001E-2</v>
      </c>
      <c r="U376">
        <v>6645.6</v>
      </c>
    </row>
    <row r="377" spans="1:21" x14ac:dyDescent="0.2">
      <c r="A377" t="s">
        <v>438</v>
      </c>
      <c r="B377" t="s">
        <v>54</v>
      </c>
      <c r="C377" t="s">
        <v>35</v>
      </c>
      <c r="D377" t="s">
        <v>45</v>
      </c>
      <c r="E377" t="s">
        <v>25</v>
      </c>
      <c r="F377" t="s">
        <v>46</v>
      </c>
      <c r="G377" t="s">
        <v>47</v>
      </c>
      <c r="H377" t="s">
        <v>70</v>
      </c>
      <c r="I377">
        <v>2</v>
      </c>
      <c r="J377">
        <v>95000</v>
      </c>
      <c r="K377">
        <v>57000</v>
      </c>
      <c r="L377">
        <v>1.4999999999999999E-2</v>
      </c>
      <c r="M377">
        <v>1</v>
      </c>
      <c r="N377">
        <v>7</v>
      </c>
      <c r="O377">
        <v>93575</v>
      </c>
      <c r="P377">
        <v>187150</v>
      </c>
      <c r="Q377">
        <v>114000</v>
      </c>
      <c r="R377">
        <v>73150</v>
      </c>
      <c r="S377">
        <v>39.1</v>
      </c>
      <c r="T377">
        <v>0.06</v>
      </c>
      <c r="U377">
        <v>11229</v>
      </c>
    </row>
    <row r="378" spans="1:21" x14ac:dyDescent="0.2">
      <c r="A378" t="s">
        <v>439</v>
      </c>
      <c r="B378" t="s">
        <v>54</v>
      </c>
      <c r="C378" t="s">
        <v>44</v>
      </c>
      <c r="D378" t="s">
        <v>31</v>
      </c>
      <c r="E378" t="s">
        <v>25</v>
      </c>
      <c r="F378" t="s">
        <v>73</v>
      </c>
      <c r="G378" t="s">
        <v>74</v>
      </c>
      <c r="H378" t="s">
        <v>70</v>
      </c>
      <c r="I378">
        <v>1</v>
      </c>
      <c r="J378">
        <v>22000</v>
      </c>
      <c r="K378">
        <v>13200</v>
      </c>
      <c r="L378">
        <v>4.2999999999999997E-2</v>
      </c>
      <c r="M378">
        <v>1</v>
      </c>
      <c r="N378">
        <v>32</v>
      </c>
      <c r="O378">
        <v>21054</v>
      </c>
      <c r="P378">
        <v>21054</v>
      </c>
      <c r="Q378">
        <v>13200</v>
      </c>
      <c r="R378">
        <v>7854</v>
      </c>
      <c r="S378">
        <v>37.299999999999997</v>
      </c>
      <c r="T378">
        <v>0.06</v>
      </c>
      <c r="U378">
        <v>1263.24</v>
      </c>
    </row>
    <row r="379" spans="1:21" x14ac:dyDescent="0.2">
      <c r="A379" t="s">
        <v>440</v>
      </c>
      <c r="B379" t="s">
        <v>54</v>
      </c>
      <c r="C379" t="s">
        <v>35</v>
      </c>
      <c r="D379" t="s">
        <v>67</v>
      </c>
      <c r="E379" t="s">
        <v>41</v>
      </c>
      <c r="F379" t="s">
        <v>26</v>
      </c>
      <c r="G379" t="s">
        <v>27</v>
      </c>
      <c r="H379" t="s">
        <v>48</v>
      </c>
      <c r="I379">
        <v>4</v>
      </c>
      <c r="J379">
        <v>35000</v>
      </c>
      <c r="K379">
        <v>21000</v>
      </c>
      <c r="L379">
        <v>0</v>
      </c>
      <c r="M379">
        <v>1</v>
      </c>
      <c r="N379">
        <v>41</v>
      </c>
      <c r="O379">
        <v>35000</v>
      </c>
      <c r="P379">
        <v>140000</v>
      </c>
      <c r="Q379">
        <v>84000</v>
      </c>
      <c r="R379">
        <v>56000</v>
      </c>
      <c r="S379">
        <v>40</v>
      </c>
      <c r="T379">
        <v>0.04</v>
      </c>
      <c r="U379">
        <v>5600</v>
      </c>
    </row>
    <row r="380" spans="1:21" x14ac:dyDescent="0.2">
      <c r="A380" t="s">
        <v>441</v>
      </c>
      <c r="B380" t="s">
        <v>54</v>
      </c>
      <c r="C380" t="s">
        <v>35</v>
      </c>
      <c r="D380" t="s">
        <v>45</v>
      </c>
      <c r="E380" t="s">
        <v>25</v>
      </c>
      <c r="F380" t="s">
        <v>56</v>
      </c>
      <c r="G380" t="s">
        <v>57</v>
      </c>
      <c r="H380" t="s">
        <v>28</v>
      </c>
      <c r="I380">
        <v>4</v>
      </c>
      <c r="J380">
        <v>180000</v>
      </c>
      <c r="K380">
        <v>108000</v>
      </c>
      <c r="L380">
        <v>7.0000000000000001E-3</v>
      </c>
      <c r="M380">
        <v>1</v>
      </c>
      <c r="N380">
        <v>14</v>
      </c>
      <c r="O380">
        <v>178740</v>
      </c>
      <c r="P380">
        <v>714960</v>
      </c>
      <c r="Q380">
        <v>432000</v>
      </c>
      <c r="R380">
        <v>282960</v>
      </c>
      <c r="S380">
        <v>39.6</v>
      </c>
      <c r="T380">
        <v>0.06</v>
      </c>
      <c r="U380">
        <v>42897.599999999999</v>
      </c>
    </row>
    <row r="381" spans="1:21" x14ac:dyDescent="0.2">
      <c r="A381" t="s">
        <v>442</v>
      </c>
      <c r="B381" t="s">
        <v>30</v>
      </c>
      <c r="C381" t="s">
        <v>44</v>
      </c>
      <c r="D381" t="s">
        <v>45</v>
      </c>
      <c r="E381" t="s">
        <v>25</v>
      </c>
      <c r="F381" t="s">
        <v>56</v>
      </c>
      <c r="G381" t="s">
        <v>57</v>
      </c>
      <c r="H381" t="s">
        <v>28</v>
      </c>
      <c r="I381">
        <v>9</v>
      </c>
      <c r="J381">
        <v>180000</v>
      </c>
      <c r="K381">
        <v>108000</v>
      </c>
      <c r="L381">
        <v>2E-3</v>
      </c>
      <c r="M381">
        <v>1</v>
      </c>
      <c r="N381">
        <v>5</v>
      </c>
      <c r="O381">
        <v>179640</v>
      </c>
      <c r="P381">
        <v>1616760</v>
      </c>
      <c r="Q381">
        <v>972000</v>
      </c>
      <c r="R381">
        <v>644760</v>
      </c>
      <c r="S381">
        <v>39.9</v>
      </c>
      <c r="T381">
        <v>0.06</v>
      </c>
      <c r="U381">
        <v>97005.6</v>
      </c>
    </row>
    <row r="382" spans="1:21" x14ac:dyDescent="0.2">
      <c r="A382" t="s">
        <v>443</v>
      </c>
      <c r="B382" t="s">
        <v>22</v>
      </c>
      <c r="C382" t="s">
        <v>35</v>
      </c>
      <c r="D382" t="s">
        <v>45</v>
      </c>
      <c r="E382" t="s">
        <v>25</v>
      </c>
      <c r="F382" t="s">
        <v>86</v>
      </c>
      <c r="G382" t="s">
        <v>87</v>
      </c>
      <c r="H382" t="s">
        <v>32</v>
      </c>
      <c r="I382">
        <v>11</v>
      </c>
      <c r="J382">
        <v>28000</v>
      </c>
      <c r="K382">
        <v>16800</v>
      </c>
      <c r="L382">
        <v>5.6000000000000001E-2</v>
      </c>
      <c r="M382">
        <v>1</v>
      </c>
      <c r="N382">
        <v>25</v>
      </c>
      <c r="O382">
        <v>26432</v>
      </c>
      <c r="P382">
        <v>290752</v>
      </c>
      <c r="Q382">
        <v>184800</v>
      </c>
      <c r="R382">
        <v>105952</v>
      </c>
      <c r="S382">
        <v>36.4</v>
      </c>
      <c r="T382">
        <v>0.06</v>
      </c>
      <c r="U382">
        <v>17445.12</v>
      </c>
    </row>
    <row r="383" spans="1:21" x14ac:dyDescent="0.2">
      <c r="A383" t="s">
        <v>444</v>
      </c>
      <c r="B383" t="s">
        <v>22</v>
      </c>
      <c r="C383" t="s">
        <v>35</v>
      </c>
      <c r="D383" t="s">
        <v>67</v>
      </c>
      <c r="E383" t="s">
        <v>41</v>
      </c>
      <c r="F383" t="s">
        <v>73</v>
      </c>
      <c r="G383" t="s">
        <v>74</v>
      </c>
      <c r="H383" t="s">
        <v>28</v>
      </c>
      <c r="I383">
        <v>4</v>
      </c>
      <c r="J383">
        <v>22000</v>
      </c>
      <c r="K383">
        <v>13200</v>
      </c>
      <c r="L383">
        <v>0.15</v>
      </c>
      <c r="M383">
        <v>1</v>
      </c>
      <c r="N383">
        <v>30</v>
      </c>
      <c r="O383">
        <v>18700</v>
      </c>
      <c r="P383">
        <v>74800</v>
      </c>
      <c r="Q383">
        <v>52800</v>
      </c>
      <c r="R383">
        <v>22000</v>
      </c>
      <c r="S383">
        <v>29.4</v>
      </c>
      <c r="T383">
        <v>2.5000000000000001E-2</v>
      </c>
      <c r="U383">
        <v>1870</v>
      </c>
    </row>
    <row r="384" spans="1:21" x14ac:dyDescent="0.2">
      <c r="A384" t="s">
        <v>445</v>
      </c>
      <c r="B384" t="s">
        <v>54</v>
      </c>
      <c r="C384" t="s">
        <v>35</v>
      </c>
      <c r="D384" t="s">
        <v>67</v>
      </c>
      <c r="E384" t="s">
        <v>41</v>
      </c>
      <c r="F384" t="s">
        <v>86</v>
      </c>
      <c r="G384" t="s">
        <v>87</v>
      </c>
      <c r="H384" t="s">
        <v>32</v>
      </c>
      <c r="I384">
        <v>10</v>
      </c>
      <c r="J384">
        <v>28000</v>
      </c>
      <c r="K384">
        <v>16800</v>
      </c>
      <c r="L384">
        <v>0.16</v>
      </c>
      <c r="M384">
        <v>1</v>
      </c>
      <c r="N384">
        <v>7</v>
      </c>
      <c r="O384">
        <v>23520</v>
      </c>
      <c r="P384">
        <v>235200</v>
      </c>
      <c r="Q384">
        <v>168000</v>
      </c>
      <c r="R384">
        <v>67200</v>
      </c>
      <c r="S384">
        <v>28.6</v>
      </c>
      <c r="T384">
        <v>2.5000000000000001E-2</v>
      </c>
      <c r="U384">
        <v>5880</v>
      </c>
    </row>
    <row r="385" spans="1:21" x14ac:dyDescent="0.2">
      <c r="A385" t="s">
        <v>446</v>
      </c>
      <c r="B385" t="s">
        <v>54</v>
      </c>
      <c r="C385" t="s">
        <v>50</v>
      </c>
      <c r="D385" t="s">
        <v>55</v>
      </c>
      <c r="E385" t="s">
        <v>41</v>
      </c>
      <c r="F385" t="s">
        <v>73</v>
      </c>
      <c r="G385" t="s">
        <v>74</v>
      </c>
      <c r="H385" t="s">
        <v>64</v>
      </c>
      <c r="I385">
        <v>12</v>
      </c>
      <c r="J385">
        <v>22000</v>
      </c>
      <c r="K385">
        <v>13200</v>
      </c>
      <c r="L385">
        <v>4.7E-2</v>
      </c>
      <c r="M385">
        <v>1</v>
      </c>
      <c r="N385">
        <v>44</v>
      </c>
      <c r="O385">
        <v>20966</v>
      </c>
      <c r="P385">
        <v>251592</v>
      </c>
      <c r="Q385">
        <v>158400</v>
      </c>
      <c r="R385">
        <v>93192</v>
      </c>
      <c r="S385">
        <v>37</v>
      </c>
      <c r="T385">
        <v>2.5000000000000001E-2</v>
      </c>
      <c r="U385">
        <v>6289.8</v>
      </c>
    </row>
    <row r="386" spans="1:21" x14ac:dyDescent="0.2">
      <c r="A386" t="s">
        <v>447</v>
      </c>
      <c r="B386" t="s">
        <v>54</v>
      </c>
      <c r="C386" t="s">
        <v>44</v>
      </c>
      <c r="D386" t="s">
        <v>40</v>
      </c>
      <c r="E386" t="s">
        <v>41</v>
      </c>
      <c r="F386" t="s">
        <v>56</v>
      </c>
      <c r="G386" t="s">
        <v>57</v>
      </c>
      <c r="H386" t="s">
        <v>38</v>
      </c>
      <c r="I386">
        <v>7</v>
      </c>
      <c r="J386">
        <v>180000</v>
      </c>
      <c r="K386">
        <v>108000</v>
      </c>
      <c r="L386">
        <v>0.17599999999999999</v>
      </c>
      <c r="M386">
        <v>0</v>
      </c>
      <c r="N386">
        <v>36</v>
      </c>
      <c r="O386">
        <v>148320</v>
      </c>
      <c r="P386">
        <v>1038240</v>
      </c>
      <c r="Q386">
        <v>756000</v>
      </c>
      <c r="R386">
        <v>282240</v>
      </c>
      <c r="S386">
        <v>27.2</v>
      </c>
      <c r="T386">
        <v>2.5000000000000001E-2</v>
      </c>
      <c r="U386">
        <v>25956</v>
      </c>
    </row>
    <row r="387" spans="1:21" x14ac:dyDescent="0.2">
      <c r="A387" t="s">
        <v>448</v>
      </c>
      <c r="B387" t="s">
        <v>54</v>
      </c>
      <c r="C387" t="s">
        <v>35</v>
      </c>
      <c r="D387" t="s">
        <v>67</v>
      </c>
      <c r="E387" t="s">
        <v>41</v>
      </c>
      <c r="F387" t="s">
        <v>73</v>
      </c>
      <c r="G387" t="s">
        <v>74</v>
      </c>
      <c r="H387" t="s">
        <v>42</v>
      </c>
      <c r="I387">
        <v>12</v>
      </c>
      <c r="J387">
        <v>22000</v>
      </c>
      <c r="K387">
        <v>13200</v>
      </c>
      <c r="L387">
        <v>7.1999999999999995E-2</v>
      </c>
      <c r="M387">
        <v>1</v>
      </c>
      <c r="N387">
        <v>3</v>
      </c>
      <c r="O387">
        <v>20416</v>
      </c>
      <c r="P387">
        <v>244992</v>
      </c>
      <c r="Q387">
        <v>158400</v>
      </c>
      <c r="R387">
        <v>86592</v>
      </c>
      <c r="S387">
        <v>35.299999999999997</v>
      </c>
      <c r="T387">
        <v>2.5000000000000001E-2</v>
      </c>
      <c r="U387">
        <v>6124.8</v>
      </c>
    </row>
    <row r="388" spans="1:21" x14ac:dyDescent="0.2">
      <c r="A388" t="s">
        <v>449</v>
      </c>
      <c r="B388" t="s">
        <v>34</v>
      </c>
      <c r="C388" t="s">
        <v>23</v>
      </c>
      <c r="D388" t="s">
        <v>31</v>
      </c>
      <c r="E388" t="s">
        <v>25</v>
      </c>
      <c r="F388" t="s">
        <v>51</v>
      </c>
      <c r="G388" t="s">
        <v>37</v>
      </c>
      <c r="H388" t="s">
        <v>28</v>
      </c>
      <c r="I388">
        <v>10</v>
      </c>
      <c r="J388">
        <v>32000</v>
      </c>
      <c r="K388">
        <v>19200</v>
      </c>
      <c r="L388">
        <v>4.2000000000000003E-2</v>
      </c>
      <c r="M388">
        <v>1</v>
      </c>
      <c r="N388">
        <v>29</v>
      </c>
      <c r="O388">
        <v>30656</v>
      </c>
      <c r="P388">
        <v>306560</v>
      </c>
      <c r="Q388">
        <v>192000</v>
      </c>
      <c r="R388">
        <v>114560</v>
      </c>
      <c r="S388">
        <v>37.4</v>
      </c>
      <c r="T388">
        <v>0.06</v>
      </c>
      <c r="U388">
        <v>18393.599999999999</v>
      </c>
    </row>
    <row r="389" spans="1:21" x14ac:dyDescent="0.2">
      <c r="A389" t="s">
        <v>450</v>
      </c>
      <c r="B389" t="s">
        <v>22</v>
      </c>
      <c r="C389" t="s">
        <v>44</v>
      </c>
      <c r="D389" t="s">
        <v>67</v>
      </c>
      <c r="E389" t="s">
        <v>41</v>
      </c>
      <c r="F389" t="s">
        <v>46</v>
      </c>
      <c r="G389" t="s">
        <v>47</v>
      </c>
      <c r="H389" t="s">
        <v>48</v>
      </c>
      <c r="I389">
        <v>6</v>
      </c>
      <c r="J389">
        <v>95000</v>
      </c>
      <c r="K389">
        <v>57000</v>
      </c>
      <c r="L389">
        <v>4.3999999999999997E-2</v>
      </c>
      <c r="M389">
        <v>1</v>
      </c>
      <c r="N389">
        <v>24</v>
      </c>
      <c r="O389">
        <v>90820</v>
      </c>
      <c r="P389">
        <v>544920</v>
      </c>
      <c r="Q389">
        <v>342000</v>
      </c>
      <c r="R389">
        <v>202920</v>
      </c>
      <c r="S389">
        <v>37.200000000000003</v>
      </c>
      <c r="T389">
        <v>2.5000000000000001E-2</v>
      </c>
      <c r="U389">
        <v>13623</v>
      </c>
    </row>
    <row r="390" spans="1:21" x14ac:dyDescent="0.2">
      <c r="A390" t="s">
        <v>451</v>
      </c>
      <c r="B390" t="s">
        <v>54</v>
      </c>
      <c r="C390" t="s">
        <v>23</v>
      </c>
      <c r="D390" t="s">
        <v>45</v>
      </c>
      <c r="E390" t="s">
        <v>25</v>
      </c>
      <c r="F390" t="s">
        <v>36</v>
      </c>
      <c r="G390" t="s">
        <v>37</v>
      </c>
      <c r="H390" t="s">
        <v>70</v>
      </c>
      <c r="I390">
        <v>14</v>
      </c>
      <c r="J390">
        <v>8500</v>
      </c>
      <c r="K390">
        <v>5100</v>
      </c>
      <c r="L390">
        <v>7.0999999999999994E-2</v>
      </c>
      <c r="M390">
        <v>1</v>
      </c>
      <c r="N390">
        <v>29</v>
      </c>
      <c r="O390">
        <v>7896.5</v>
      </c>
      <c r="P390">
        <v>110551</v>
      </c>
      <c r="Q390">
        <v>71400</v>
      </c>
      <c r="R390">
        <v>39151</v>
      </c>
      <c r="S390">
        <v>35.4</v>
      </c>
      <c r="T390">
        <v>0.06</v>
      </c>
      <c r="U390">
        <v>6633.06</v>
      </c>
    </row>
    <row r="391" spans="1:21" x14ac:dyDescent="0.2">
      <c r="A391" t="s">
        <v>452</v>
      </c>
      <c r="B391" t="s">
        <v>30</v>
      </c>
      <c r="C391" t="s">
        <v>50</v>
      </c>
      <c r="D391" t="s">
        <v>55</v>
      </c>
      <c r="E391" t="s">
        <v>41</v>
      </c>
      <c r="F391" t="s">
        <v>36</v>
      </c>
      <c r="G391" t="s">
        <v>37</v>
      </c>
      <c r="H391" t="s">
        <v>48</v>
      </c>
      <c r="I391">
        <v>5</v>
      </c>
      <c r="J391">
        <v>8500</v>
      </c>
      <c r="K391">
        <v>5100</v>
      </c>
      <c r="L391">
        <v>0.1</v>
      </c>
      <c r="M391">
        <v>1</v>
      </c>
      <c r="N391">
        <v>33</v>
      </c>
      <c r="O391">
        <v>7650</v>
      </c>
      <c r="P391">
        <v>38250</v>
      </c>
      <c r="Q391">
        <v>25500</v>
      </c>
      <c r="R391">
        <v>12750</v>
      </c>
      <c r="S391">
        <v>33.299999999999997</v>
      </c>
      <c r="T391">
        <v>2.5000000000000001E-2</v>
      </c>
      <c r="U391">
        <v>956.25</v>
      </c>
    </row>
    <row r="392" spans="1:21" x14ac:dyDescent="0.2">
      <c r="A392" t="s">
        <v>453</v>
      </c>
      <c r="B392" t="s">
        <v>30</v>
      </c>
      <c r="C392" t="s">
        <v>35</v>
      </c>
      <c r="D392" t="s">
        <v>67</v>
      </c>
      <c r="E392" t="s">
        <v>41</v>
      </c>
      <c r="F392" t="s">
        <v>36</v>
      </c>
      <c r="G392" t="s">
        <v>37</v>
      </c>
      <c r="H392" t="s">
        <v>32</v>
      </c>
      <c r="I392">
        <v>14</v>
      </c>
      <c r="J392">
        <v>8500</v>
      </c>
      <c r="K392">
        <v>5100</v>
      </c>
      <c r="L392">
        <v>9.1999999999999998E-2</v>
      </c>
      <c r="M392">
        <v>1</v>
      </c>
      <c r="N392">
        <v>9</v>
      </c>
      <c r="O392">
        <v>7718</v>
      </c>
      <c r="P392">
        <v>108052</v>
      </c>
      <c r="Q392">
        <v>71400</v>
      </c>
      <c r="R392">
        <v>36652</v>
      </c>
      <c r="S392">
        <v>33.9</v>
      </c>
      <c r="T392">
        <v>2.5000000000000001E-2</v>
      </c>
      <c r="U392">
        <v>2701.3</v>
      </c>
    </row>
    <row r="393" spans="1:21" x14ac:dyDescent="0.2">
      <c r="A393" t="s">
        <v>454</v>
      </c>
      <c r="B393" t="s">
        <v>54</v>
      </c>
      <c r="C393" t="s">
        <v>35</v>
      </c>
      <c r="D393" t="s">
        <v>55</v>
      </c>
      <c r="E393" t="s">
        <v>41</v>
      </c>
      <c r="F393" t="s">
        <v>51</v>
      </c>
      <c r="G393" t="s">
        <v>37</v>
      </c>
      <c r="H393" t="s">
        <v>28</v>
      </c>
      <c r="I393">
        <v>10</v>
      </c>
      <c r="J393">
        <v>32000</v>
      </c>
      <c r="K393">
        <v>19200</v>
      </c>
      <c r="L393">
        <v>3.9E-2</v>
      </c>
      <c r="M393">
        <v>0</v>
      </c>
      <c r="N393">
        <v>25</v>
      </c>
      <c r="O393">
        <v>30752</v>
      </c>
      <c r="P393">
        <v>307520</v>
      </c>
      <c r="Q393">
        <v>192000</v>
      </c>
      <c r="R393">
        <v>115520</v>
      </c>
      <c r="S393">
        <v>37.6</v>
      </c>
      <c r="T393">
        <v>2.5000000000000001E-2</v>
      </c>
      <c r="U393">
        <v>7688</v>
      </c>
    </row>
    <row r="394" spans="1:21" x14ac:dyDescent="0.2">
      <c r="A394" t="s">
        <v>455</v>
      </c>
      <c r="B394" t="s">
        <v>30</v>
      </c>
      <c r="C394" t="s">
        <v>35</v>
      </c>
      <c r="D394" t="s">
        <v>45</v>
      </c>
      <c r="E394" t="s">
        <v>25</v>
      </c>
      <c r="F394" t="s">
        <v>73</v>
      </c>
      <c r="G394" t="s">
        <v>74</v>
      </c>
      <c r="H394" t="s">
        <v>75</v>
      </c>
      <c r="I394">
        <v>9</v>
      </c>
      <c r="J394">
        <v>22000</v>
      </c>
      <c r="K394">
        <v>13200</v>
      </c>
      <c r="L394">
        <v>7.8E-2</v>
      </c>
      <c r="M394">
        <v>1</v>
      </c>
      <c r="N394">
        <v>31</v>
      </c>
      <c r="O394">
        <v>20284</v>
      </c>
      <c r="P394">
        <v>182556</v>
      </c>
      <c r="Q394">
        <v>118800</v>
      </c>
      <c r="R394">
        <v>63756</v>
      </c>
      <c r="S394">
        <v>34.9</v>
      </c>
      <c r="T394">
        <v>0.06</v>
      </c>
      <c r="U394">
        <v>10953.36</v>
      </c>
    </row>
    <row r="395" spans="1:21" x14ac:dyDescent="0.2">
      <c r="A395" t="s">
        <v>456</v>
      </c>
      <c r="B395" t="s">
        <v>30</v>
      </c>
      <c r="C395" t="s">
        <v>35</v>
      </c>
      <c r="D395" t="s">
        <v>55</v>
      </c>
      <c r="E395" t="s">
        <v>41</v>
      </c>
      <c r="F395" t="s">
        <v>86</v>
      </c>
      <c r="G395" t="s">
        <v>87</v>
      </c>
      <c r="H395" t="s">
        <v>75</v>
      </c>
      <c r="I395">
        <v>14</v>
      </c>
      <c r="J395">
        <v>28000</v>
      </c>
      <c r="K395">
        <v>16800</v>
      </c>
      <c r="L395">
        <v>0.14799999999999999</v>
      </c>
      <c r="M395">
        <v>1</v>
      </c>
      <c r="N395">
        <v>12</v>
      </c>
      <c r="O395">
        <v>23856</v>
      </c>
      <c r="P395">
        <v>333984</v>
      </c>
      <c r="Q395">
        <v>235200</v>
      </c>
      <c r="R395">
        <v>98784</v>
      </c>
      <c r="S395">
        <v>29.6</v>
      </c>
      <c r="T395">
        <v>2.5000000000000001E-2</v>
      </c>
      <c r="U395">
        <v>8349.6</v>
      </c>
    </row>
    <row r="396" spans="1:21" x14ac:dyDescent="0.2">
      <c r="A396" t="s">
        <v>457</v>
      </c>
      <c r="B396" t="s">
        <v>30</v>
      </c>
      <c r="C396" t="s">
        <v>35</v>
      </c>
      <c r="D396" t="s">
        <v>40</v>
      </c>
      <c r="E396" t="s">
        <v>41</v>
      </c>
      <c r="F396" t="s">
        <v>26</v>
      </c>
      <c r="G396" t="s">
        <v>27</v>
      </c>
      <c r="H396" t="s">
        <v>59</v>
      </c>
      <c r="I396">
        <v>12</v>
      </c>
      <c r="J396">
        <v>35000</v>
      </c>
      <c r="K396">
        <v>21000</v>
      </c>
      <c r="L396">
        <v>6.9000000000000006E-2</v>
      </c>
      <c r="M396">
        <v>0</v>
      </c>
      <c r="N396">
        <v>15</v>
      </c>
      <c r="O396">
        <v>32585</v>
      </c>
      <c r="P396">
        <v>391020</v>
      </c>
      <c r="Q396">
        <v>252000</v>
      </c>
      <c r="R396">
        <v>139020</v>
      </c>
      <c r="S396">
        <v>35.6</v>
      </c>
      <c r="T396">
        <v>2.5000000000000001E-2</v>
      </c>
      <c r="U396">
        <v>9775.5</v>
      </c>
    </row>
    <row r="397" spans="1:21" x14ac:dyDescent="0.2">
      <c r="A397" t="s">
        <v>458</v>
      </c>
      <c r="B397" t="s">
        <v>22</v>
      </c>
      <c r="C397" t="s">
        <v>23</v>
      </c>
      <c r="D397" t="s">
        <v>67</v>
      </c>
      <c r="E397" t="s">
        <v>41</v>
      </c>
      <c r="F397" t="s">
        <v>46</v>
      </c>
      <c r="G397" t="s">
        <v>47</v>
      </c>
      <c r="H397" t="s">
        <v>70</v>
      </c>
      <c r="I397">
        <v>2</v>
      </c>
      <c r="J397">
        <v>95000</v>
      </c>
      <c r="K397">
        <v>57000</v>
      </c>
      <c r="L397">
        <v>0.121</v>
      </c>
      <c r="M397">
        <v>1</v>
      </c>
      <c r="N397">
        <v>10</v>
      </c>
      <c r="O397">
        <v>83505</v>
      </c>
      <c r="P397">
        <v>167010</v>
      </c>
      <c r="Q397">
        <v>114000</v>
      </c>
      <c r="R397">
        <v>53010</v>
      </c>
      <c r="S397">
        <v>31.7</v>
      </c>
      <c r="T397">
        <v>2.5000000000000001E-2</v>
      </c>
      <c r="U397">
        <v>4175.25</v>
      </c>
    </row>
    <row r="398" spans="1:21" x14ac:dyDescent="0.2">
      <c r="A398" t="s">
        <v>459</v>
      </c>
      <c r="B398" t="s">
        <v>22</v>
      </c>
      <c r="C398" t="s">
        <v>35</v>
      </c>
      <c r="D398" t="s">
        <v>40</v>
      </c>
      <c r="E398" t="s">
        <v>41</v>
      </c>
      <c r="F398" t="s">
        <v>86</v>
      </c>
      <c r="G398" t="s">
        <v>87</v>
      </c>
      <c r="H398" t="s">
        <v>38</v>
      </c>
      <c r="I398">
        <v>11</v>
      </c>
      <c r="J398">
        <v>28000</v>
      </c>
      <c r="K398">
        <v>16800</v>
      </c>
      <c r="L398">
        <v>0.182</v>
      </c>
      <c r="M398">
        <v>0</v>
      </c>
      <c r="N398">
        <v>19</v>
      </c>
      <c r="O398">
        <v>22904</v>
      </c>
      <c r="P398">
        <v>251944</v>
      </c>
      <c r="Q398">
        <v>184800</v>
      </c>
      <c r="R398">
        <v>67144</v>
      </c>
      <c r="S398">
        <v>26.7</v>
      </c>
      <c r="T398">
        <v>2.5000000000000001E-2</v>
      </c>
      <c r="U398">
        <v>6298.6</v>
      </c>
    </row>
    <row r="399" spans="1:21" x14ac:dyDescent="0.2">
      <c r="A399" t="s">
        <v>460</v>
      </c>
      <c r="B399" t="s">
        <v>54</v>
      </c>
      <c r="C399" t="s">
        <v>23</v>
      </c>
      <c r="D399" t="s">
        <v>67</v>
      </c>
      <c r="E399" t="s">
        <v>41</v>
      </c>
      <c r="F399" t="s">
        <v>26</v>
      </c>
      <c r="G399" t="s">
        <v>27</v>
      </c>
      <c r="H399" t="s">
        <v>28</v>
      </c>
      <c r="I399">
        <v>11</v>
      </c>
      <c r="J399">
        <v>35000</v>
      </c>
      <c r="K399">
        <v>21000</v>
      </c>
      <c r="L399">
        <v>1.9E-2</v>
      </c>
      <c r="M399">
        <v>1</v>
      </c>
      <c r="N399">
        <v>12</v>
      </c>
      <c r="O399">
        <v>34335</v>
      </c>
      <c r="P399">
        <v>377685</v>
      </c>
      <c r="Q399">
        <v>231000</v>
      </c>
      <c r="R399">
        <v>146685</v>
      </c>
      <c r="S399">
        <v>38.799999999999997</v>
      </c>
      <c r="T399">
        <v>2.5000000000000001E-2</v>
      </c>
      <c r="U399">
        <v>9442.1200000000008</v>
      </c>
    </row>
    <row r="400" spans="1:21" x14ac:dyDescent="0.2">
      <c r="A400" t="s">
        <v>461</v>
      </c>
      <c r="B400" t="s">
        <v>22</v>
      </c>
      <c r="C400" t="s">
        <v>81</v>
      </c>
      <c r="D400" t="s">
        <v>67</v>
      </c>
      <c r="E400" t="s">
        <v>41</v>
      </c>
      <c r="F400" t="s">
        <v>46</v>
      </c>
      <c r="G400" t="s">
        <v>47</v>
      </c>
      <c r="H400" t="s">
        <v>48</v>
      </c>
      <c r="I400">
        <v>4</v>
      </c>
      <c r="J400">
        <v>95000</v>
      </c>
      <c r="K400">
        <v>57000</v>
      </c>
      <c r="L400">
        <v>4.3999999999999997E-2</v>
      </c>
      <c r="M400">
        <v>1</v>
      </c>
      <c r="N400">
        <v>28</v>
      </c>
      <c r="O400">
        <v>90820</v>
      </c>
      <c r="P400">
        <v>363280</v>
      </c>
      <c r="Q400">
        <v>228000</v>
      </c>
      <c r="R400">
        <v>135280</v>
      </c>
      <c r="S400">
        <v>37.200000000000003</v>
      </c>
      <c r="T400">
        <v>2.5000000000000001E-2</v>
      </c>
      <c r="U400">
        <v>9082</v>
      </c>
    </row>
    <row r="401" spans="1:21" x14ac:dyDescent="0.2">
      <c r="A401" t="s">
        <v>462</v>
      </c>
      <c r="B401" t="s">
        <v>30</v>
      </c>
      <c r="C401" t="s">
        <v>35</v>
      </c>
      <c r="D401" t="s">
        <v>55</v>
      </c>
      <c r="E401" t="s">
        <v>41</v>
      </c>
      <c r="F401" t="s">
        <v>73</v>
      </c>
      <c r="G401" t="s">
        <v>74</v>
      </c>
      <c r="H401" t="s">
        <v>64</v>
      </c>
      <c r="I401">
        <v>12</v>
      </c>
      <c r="J401">
        <v>22000</v>
      </c>
      <c r="K401">
        <v>13200</v>
      </c>
      <c r="L401">
        <v>0.17599999999999999</v>
      </c>
      <c r="M401">
        <v>1</v>
      </c>
      <c r="N401">
        <v>14</v>
      </c>
      <c r="O401">
        <v>18128</v>
      </c>
      <c r="P401">
        <v>217536</v>
      </c>
      <c r="Q401">
        <v>158400</v>
      </c>
      <c r="R401">
        <v>59136</v>
      </c>
      <c r="S401">
        <v>27.2</v>
      </c>
      <c r="T401">
        <v>2.5000000000000001E-2</v>
      </c>
      <c r="U401">
        <v>5438.4</v>
      </c>
    </row>
    <row r="402" spans="1:21" x14ac:dyDescent="0.2">
      <c r="A402" t="s">
        <v>463</v>
      </c>
      <c r="B402" t="s">
        <v>54</v>
      </c>
      <c r="C402" t="s">
        <v>35</v>
      </c>
      <c r="D402" t="s">
        <v>40</v>
      </c>
      <c r="E402" t="s">
        <v>41</v>
      </c>
      <c r="F402" t="s">
        <v>86</v>
      </c>
      <c r="G402" t="s">
        <v>87</v>
      </c>
      <c r="H402" t="s">
        <v>52</v>
      </c>
      <c r="I402">
        <v>4</v>
      </c>
      <c r="J402">
        <v>28000</v>
      </c>
      <c r="K402">
        <v>16800</v>
      </c>
      <c r="L402">
        <v>0.17100000000000001</v>
      </c>
      <c r="M402">
        <v>0</v>
      </c>
      <c r="N402">
        <v>18</v>
      </c>
      <c r="O402">
        <v>23212</v>
      </c>
      <c r="P402">
        <v>92848</v>
      </c>
      <c r="Q402">
        <v>67200</v>
      </c>
      <c r="R402">
        <v>25648</v>
      </c>
      <c r="S402">
        <v>27.6</v>
      </c>
      <c r="T402">
        <v>2.5000000000000001E-2</v>
      </c>
      <c r="U402">
        <v>2321.1999999999998</v>
      </c>
    </row>
    <row r="403" spans="1:21" x14ac:dyDescent="0.2">
      <c r="A403" t="s">
        <v>464</v>
      </c>
      <c r="B403" t="s">
        <v>34</v>
      </c>
      <c r="C403" t="s">
        <v>81</v>
      </c>
      <c r="D403" t="s">
        <v>40</v>
      </c>
      <c r="E403" t="s">
        <v>41</v>
      </c>
      <c r="F403" t="s">
        <v>86</v>
      </c>
      <c r="G403" t="s">
        <v>87</v>
      </c>
      <c r="H403" t="s">
        <v>59</v>
      </c>
      <c r="I403">
        <v>6</v>
      </c>
      <c r="J403">
        <v>28000</v>
      </c>
      <c r="K403">
        <v>16800</v>
      </c>
      <c r="L403">
        <v>8.1000000000000003E-2</v>
      </c>
      <c r="M403">
        <v>0</v>
      </c>
      <c r="N403">
        <v>29</v>
      </c>
      <c r="O403">
        <v>25732</v>
      </c>
      <c r="P403">
        <v>154392</v>
      </c>
      <c r="Q403">
        <v>100800</v>
      </c>
      <c r="R403">
        <v>53592</v>
      </c>
      <c r="S403">
        <v>34.700000000000003</v>
      </c>
      <c r="T403">
        <v>2.5000000000000001E-2</v>
      </c>
      <c r="U403">
        <v>3859.8</v>
      </c>
    </row>
    <row r="404" spans="1:21" x14ac:dyDescent="0.2">
      <c r="A404" t="s">
        <v>465</v>
      </c>
      <c r="B404" t="s">
        <v>54</v>
      </c>
      <c r="C404" t="s">
        <v>50</v>
      </c>
      <c r="D404" t="s">
        <v>67</v>
      </c>
      <c r="E404" t="s">
        <v>41</v>
      </c>
      <c r="F404" t="s">
        <v>51</v>
      </c>
      <c r="G404" t="s">
        <v>37</v>
      </c>
      <c r="H404" t="s">
        <v>64</v>
      </c>
      <c r="I404">
        <v>4</v>
      </c>
      <c r="J404">
        <v>32000</v>
      </c>
      <c r="K404">
        <v>19200</v>
      </c>
      <c r="L404">
        <v>0.17100000000000001</v>
      </c>
      <c r="M404">
        <v>1</v>
      </c>
      <c r="N404">
        <v>39</v>
      </c>
      <c r="O404">
        <v>26528</v>
      </c>
      <c r="P404">
        <v>106112</v>
      </c>
      <c r="Q404">
        <v>76800</v>
      </c>
      <c r="R404">
        <v>29312</v>
      </c>
      <c r="S404">
        <v>27.6</v>
      </c>
      <c r="T404">
        <v>2.5000000000000001E-2</v>
      </c>
      <c r="U404">
        <v>2652.8</v>
      </c>
    </row>
    <row r="405" spans="1:21" x14ac:dyDescent="0.2">
      <c r="A405" t="s">
        <v>466</v>
      </c>
      <c r="B405" t="s">
        <v>30</v>
      </c>
      <c r="C405" t="s">
        <v>50</v>
      </c>
      <c r="D405" t="s">
        <v>31</v>
      </c>
      <c r="E405" t="s">
        <v>25</v>
      </c>
      <c r="F405" t="s">
        <v>36</v>
      </c>
      <c r="G405" t="s">
        <v>37</v>
      </c>
      <c r="H405" t="s">
        <v>75</v>
      </c>
      <c r="I405">
        <v>6</v>
      </c>
      <c r="J405">
        <v>8500</v>
      </c>
      <c r="K405">
        <v>5100</v>
      </c>
      <c r="L405">
        <v>7.9000000000000001E-2</v>
      </c>
      <c r="M405">
        <v>1</v>
      </c>
      <c r="N405">
        <v>21</v>
      </c>
      <c r="O405">
        <v>7828.5</v>
      </c>
      <c r="P405">
        <v>46971</v>
      </c>
      <c r="Q405">
        <v>30600</v>
      </c>
      <c r="R405">
        <v>16371</v>
      </c>
      <c r="S405">
        <v>34.9</v>
      </c>
      <c r="T405">
        <v>0.06</v>
      </c>
      <c r="U405">
        <v>2818.26</v>
      </c>
    </row>
    <row r="406" spans="1:21" x14ac:dyDescent="0.2">
      <c r="A406" t="s">
        <v>467</v>
      </c>
      <c r="B406" t="s">
        <v>30</v>
      </c>
      <c r="C406" t="s">
        <v>50</v>
      </c>
      <c r="D406" t="s">
        <v>31</v>
      </c>
      <c r="E406" t="s">
        <v>25</v>
      </c>
      <c r="F406" t="s">
        <v>51</v>
      </c>
      <c r="G406" t="s">
        <v>37</v>
      </c>
      <c r="H406" t="s">
        <v>42</v>
      </c>
      <c r="I406">
        <v>3</v>
      </c>
      <c r="J406">
        <v>32000</v>
      </c>
      <c r="K406">
        <v>19200</v>
      </c>
      <c r="L406">
        <v>1.0999999999999999E-2</v>
      </c>
      <c r="M406">
        <v>1</v>
      </c>
      <c r="N406">
        <v>4</v>
      </c>
      <c r="O406">
        <v>31648</v>
      </c>
      <c r="P406">
        <v>94944</v>
      </c>
      <c r="Q406">
        <v>57600</v>
      </c>
      <c r="R406">
        <v>37344</v>
      </c>
      <c r="S406">
        <v>39.299999999999997</v>
      </c>
      <c r="T406">
        <v>0.06</v>
      </c>
      <c r="U406">
        <v>5696.64</v>
      </c>
    </row>
    <row r="407" spans="1:21" x14ac:dyDescent="0.2">
      <c r="A407" t="s">
        <v>468</v>
      </c>
      <c r="B407" t="s">
        <v>30</v>
      </c>
      <c r="C407" t="s">
        <v>35</v>
      </c>
      <c r="D407" t="s">
        <v>55</v>
      </c>
      <c r="E407" t="s">
        <v>41</v>
      </c>
      <c r="F407" t="s">
        <v>26</v>
      </c>
      <c r="G407" t="s">
        <v>27</v>
      </c>
      <c r="H407" t="s">
        <v>48</v>
      </c>
      <c r="I407">
        <v>1</v>
      </c>
      <c r="J407">
        <v>35000</v>
      </c>
      <c r="K407">
        <v>21000</v>
      </c>
      <c r="L407">
        <v>9.1999999999999998E-2</v>
      </c>
      <c r="M407">
        <v>1</v>
      </c>
      <c r="N407">
        <v>24</v>
      </c>
      <c r="O407">
        <v>31780</v>
      </c>
      <c r="P407">
        <v>31780</v>
      </c>
      <c r="Q407">
        <v>21000</v>
      </c>
      <c r="R407">
        <v>10780</v>
      </c>
      <c r="S407">
        <v>33.9</v>
      </c>
      <c r="T407">
        <v>2.5000000000000001E-2</v>
      </c>
      <c r="U407">
        <v>794.5</v>
      </c>
    </row>
    <row r="408" spans="1:21" x14ac:dyDescent="0.2">
      <c r="A408" t="s">
        <v>469</v>
      </c>
      <c r="B408" t="s">
        <v>54</v>
      </c>
      <c r="C408" t="s">
        <v>35</v>
      </c>
      <c r="D408" t="s">
        <v>55</v>
      </c>
      <c r="E408" t="s">
        <v>41</v>
      </c>
      <c r="F408" t="s">
        <v>62</v>
      </c>
      <c r="G408" t="s">
        <v>57</v>
      </c>
      <c r="H408" t="s">
        <v>64</v>
      </c>
      <c r="I408">
        <v>7</v>
      </c>
      <c r="J408">
        <v>45000</v>
      </c>
      <c r="K408">
        <v>27000</v>
      </c>
      <c r="L408">
        <v>4.2000000000000003E-2</v>
      </c>
      <c r="M408">
        <v>0</v>
      </c>
      <c r="N408">
        <v>37</v>
      </c>
      <c r="O408">
        <v>43110</v>
      </c>
      <c r="P408">
        <v>301770</v>
      </c>
      <c r="Q408">
        <v>189000</v>
      </c>
      <c r="R408">
        <v>112770</v>
      </c>
      <c r="S408">
        <v>37.4</v>
      </c>
      <c r="T408">
        <v>2.5000000000000001E-2</v>
      </c>
      <c r="U408">
        <v>7544.25</v>
      </c>
    </row>
    <row r="409" spans="1:21" x14ac:dyDescent="0.2">
      <c r="A409" t="s">
        <v>470</v>
      </c>
      <c r="B409" t="s">
        <v>34</v>
      </c>
      <c r="C409" t="s">
        <v>35</v>
      </c>
      <c r="D409" t="s">
        <v>45</v>
      </c>
      <c r="E409" t="s">
        <v>25</v>
      </c>
      <c r="F409" t="s">
        <v>26</v>
      </c>
      <c r="G409" t="s">
        <v>27</v>
      </c>
      <c r="H409" t="s">
        <v>52</v>
      </c>
      <c r="I409">
        <v>7</v>
      </c>
      <c r="J409">
        <v>35000</v>
      </c>
      <c r="K409">
        <v>21000</v>
      </c>
      <c r="L409">
        <v>3.1E-2</v>
      </c>
      <c r="M409">
        <v>0</v>
      </c>
      <c r="N409">
        <v>41</v>
      </c>
      <c r="O409">
        <v>33915</v>
      </c>
      <c r="P409">
        <v>237405</v>
      </c>
      <c r="Q409">
        <v>147000</v>
      </c>
      <c r="R409">
        <v>90405</v>
      </c>
      <c r="S409">
        <v>38.1</v>
      </c>
      <c r="T409">
        <v>0.06</v>
      </c>
      <c r="U409">
        <v>14244.3</v>
      </c>
    </row>
    <row r="410" spans="1:21" x14ac:dyDescent="0.2">
      <c r="A410" t="s">
        <v>471</v>
      </c>
      <c r="B410" t="s">
        <v>34</v>
      </c>
      <c r="C410" t="s">
        <v>35</v>
      </c>
      <c r="D410" t="s">
        <v>55</v>
      </c>
      <c r="E410" t="s">
        <v>41</v>
      </c>
      <c r="F410" t="s">
        <v>56</v>
      </c>
      <c r="G410" t="s">
        <v>57</v>
      </c>
      <c r="H410" t="s">
        <v>32</v>
      </c>
      <c r="I410">
        <v>2</v>
      </c>
      <c r="J410">
        <v>180000</v>
      </c>
      <c r="K410">
        <v>108000</v>
      </c>
      <c r="L410">
        <v>2.7E-2</v>
      </c>
      <c r="M410">
        <v>1</v>
      </c>
      <c r="N410">
        <v>16</v>
      </c>
      <c r="O410">
        <v>175140</v>
      </c>
      <c r="P410">
        <v>350280</v>
      </c>
      <c r="Q410">
        <v>216000</v>
      </c>
      <c r="R410">
        <v>134280</v>
      </c>
      <c r="S410">
        <v>38.299999999999997</v>
      </c>
      <c r="T410">
        <v>2.5000000000000001E-2</v>
      </c>
      <c r="U410">
        <v>8757</v>
      </c>
    </row>
    <row r="411" spans="1:21" x14ac:dyDescent="0.2">
      <c r="A411" t="s">
        <v>472</v>
      </c>
      <c r="B411" t="s">
        <v>30</v>
      </c>
      <c r="C411" t="s">
        <v>23</v>
      </c>
      <c r="D411" t="s">
        <v>31</v>
      </c>
      <c r="E411" t="s">
        <v>25</v>
      </c>
      <c r="F411" t="s">
        <v>62</v>
      </c>
      <c r="G411" t="s">
        <v>57</v>
      </c>
      <c r="H411" t="s">
        <v>48</v>
      </c>
      <c r="I411">
        <v>10</v>
      </c>
      <c r="J411">
        <v>45000</v>
      </c>
      <c r="K411">
        <v>27000</v>
      </c>
      <c r="L411">
        <v>3.0000000000000001E-3</v>
      </c>
      <c r="M411">
        <v>1</v>
      </c>
      <c r="N411">
        <v>7</v>
      </c>
      <c r="O411">
        <v>44865</v>
      </c>
      <c r="P411">
        <v>448650</v>
      </c>
      <c r="Q411">
        <v>270000</v>
      </c>
      <c r="R411">
        <v>178650</v>
      </c>
      <c r="S411">
        <v>39.799999999999997</v>
      </c>
      <c r="T411">
        <v>0.06</v>
      </c>
      <c r="U411">
        <v>26919</v>
      </c>
    </row>
    <row r="412" spans="1:21" x14ac:dyDescent="0.2">
      <c r="A412" t="s">
        <v>473</v>
      </c>
      <c r="B412" t="s">
        <v>54</v>
      </c>
      <c r="C412" t="s">
        <v>23</v>
      </c>
      <c r="D412" t="s">
        <v>55</v>
      </c>
      <c r="E412" t="s">
        <v>41</v>
      </c>
      <c r="F412" t="s">
        <v>56</v>
      </c>
      <c r="G412" t="s">
        <v>57</v>
      </c>
      <c r="H412" t="s">
        <v>42</v>
      </c>
      <c r="I412">
        <v>7</v>
      </c>
      <c r="J412">
        <v>180000</v>
      </c>
      <c r="K412">
        <v>108000</v>
      </c>
      <c r="L412">
        <v>3.4000000000000002E-2</v>
      </c>
      <c r="M412">
        <v>1</v>
      </c>
      <c r="N412">
        <v>43</v>
      </c>
      <c r="O412">
        <v>173880</v>
      </c>
      <c r="P412">
        <v>1217160</v>
      </c>
      <c r="Q412">
        <v>756000</v>
      </c>
      <c r="R412">
        <v>461160</v>
      </c>
      <c r="S412">
        <v>37.9</v>
      </c>
      <c r="T412">
        <v>2.5000000000000001E-2</v>
      </c>
      <c r="U412">
        <v>30429</v>
      </c>
    </row>
    <row r="413" spans="1:21" x14ac:dyDescent="0.2">
      <c r="A413" t="s">
        <v>474</v>
      </c>
      <c r="B413" t="s">
        <v>22</v>
      </c>
      <c r="C413" t="s">
        <v>23</v>
      </c>
      <c r="D413" t="s">
        <v>67</v>
      </c>
      <c r="E413" t="s">
        <v>41</v>
      </c>
      <c r="F413" t="s">
        <v>73</v>
      </c>
      <c r="G413" t="s">
        <v>74</v>
      </c>
      <c r="H413" t="s">
        <v>52</v>
      </c>
      <c r="I413">
        <v>7</v>
      </c>
      <c r="J413">
        <v>22000</v>
      </c>
      <c r="K413">
        <v>13200</v>
      </c>
      <c r="L413">
        <v>0.14799999999999999</v>
      </c>
      <c r="M413">
        <v>1</v>
      </c>
      <c r="N413">
        <v>15</v>
      </c>
      <c r="O413">
        <v>18744</v>
      </c>
      <c r="P413">
        <v>131208</v>
      </c>
      <c r="Q413">
        <v>92400</v>
      </c>
      <c r="R413">
        <v>38808</v>
      </c>
      <c r="S413">
        <v>29.6</v>
      </c>
      <c r="T413">
        <v>2.5000000000000001E-2</v>
      </c>
      <c r="U413">
        <v>3280.2</v>
      </c>
    </row>
    <row r="414" spans="1:21" x14ac:dyDescent="0.2">
      <c r="A414" t="s">
        <v>475</v>
      </c>
      <c r="B414" t="s">
        <v>22</v>
      </c>
      <c r="C414" t="s">
        <v>50</v>
      </c>
      <c r="D414" t="s">
        <v>67</v>
      </c>
      <c r="E414" t="s">
        <v>41</v>
      </c>
      <c r="F414" t="s">
        <v>51</v>
      </c>
      <c r="G414" t="s">
        <v>37</v>
      </c>
      <c r="H414" t="s">
        <v>70</v>
      </c>
      <c r="I414">
        <v>10</v>
      </c>
      <c r="J414">
        <v>32000</v>
      </c>
      <c r="K414">
        <v>19200</v>
      </c>
      <c r="L414">
        <v>4.5999999999999999E-2</v>
      </c>
      <c r="M414">
        <v>1</v>
      </c>
      <c r="N414">
        <v>29</v>
      </c>
      <c r="O414">
        <v>30528</v>
      </c>
      <c r="P414">
        <v>305280</v>
      </c>
      <c r="Q414">
        <v>192000</v>
      </c>
      <c r="R414">
        <v>113280</v>
      </c>
      <c r="S414">
        <v>37.1</v>
      </c>
      <c r="T414">
        <v>2.5000000000000001E-2</v>
      </c>
      <c r="U414">
        <v>7632</v>
      </c>
    </row>
    <row r="415" spans="1:21" x14ac:dyDescent="0.2">
      <c r="A415" t="s">
        <v>476</v>
      </c>
      <c r="B415" t="s">
        <v>34</v>
      </c>
      <c r="C415" t="s">
        <v>44</v>
      </c>
      <c r="D415" t="s">
        <v>67</v>
      </c>
      <c r="E415" t="s">
        <v>41</v>
      </c>
      <c r="F415" t="s">
        <v>56</v>
      </c>
      <c r="G415" t="s">
        <v>57</v>
      </c>
      <c r="H415" t="s">
        <v>32</v>
      </c>
      <c r="I415">
        <v>12</v>
      </c>
      <c r="J415">
        <v>180000</v>
      </c>
      <c r="K415">
        <v>108000</v>
      </c>
      <c r="L415">
        <v>5.2999999999999999E-2</v>
      </c>
      <c r="M415">
        <v>0</v>
      </c>
      <c r="N415">
        <v>38</v>
      </c>
      <c r="O415">
        <v>170460</v>
      </c>
      <c r="P415">
        <v>2045520</v>
      </c>
      <c r="Q415">
        <v>1296000</v>
      </c>
      <c r="R415">
        <v>749520</v>
      </c>
      <c r="S415">
        <v>36.6</v>
      </c>
      <c r="T415">
        <v>2.5000000000000001E-2</v>
      </c>
      <c r="U415">
        <v>51138</v>
      </c>
    </row>
    <row r="416" spans="1:21" x14ac:dyDescent="0.2">
      <c r="A416" t="s">
        <v>477</v>
      </c>
      <c r="B416" t="s">
        <v>30</v>
      </c>
      <c r="C416" t="s">
        <v>23</v>
      </c>
      <c r="D416" t="s">
        <v>55</v>
      </c>
      <c r="E416" t="s">
        <v>41</v>
      </c>
      <c r="F416" t="s">
        <v>51</v>
      </c>
      <c r="G416" t="s">
        <v>37</v>
      </c>
      <c r="H416" t="s">
        <v>52</v>
      </c>
      <c r="I416">
        <v>7</v>
      </c>
      <c r="J416">
        <v>32000</v>
      </c>
      <c r="K416">
        <v>19200</v>
      </c>
      <c r="L416">
        <v>0.16200000000000001</v>
      </c>
      <c r="M416">
        <v>1</v>
      </c>
      <c r="N416">
        <v>30</v>
      </c>
      <c r="O416">
        <v>26816</v>
      </c>
      <c r="P416">
        <v>187712</v>
      </c>
      <c r="Q416">
        <v>134400</v>
      </c>
      <c r="R416">
        <v>53312</v>
      </c>
      <c r="S416">
        <v>28.4</v>
      </c>
      <c r="T416">
        <v>2.5000000000000001E-2</v>
      </c>
      <c r="U416">
        <v>4692.8</v>
      </c>
    </row>
    <row r="417" spans="1:21" x14ac:dyDescent="0.2">
      <c r="A417" t="s">
        <v>478</v>
      </c>
      <c r="B417" t="s">
        <v>34</v>
      </c>
      <c r="C417" t="s">
        <v>81</v>
      </c>
      <c r="D417" t="s">
        <v>31</v>
      </c>
      <c r="E417" t="s">
        <v>25</v>
      </c>
      <c r="F417" t="s">
        <v>36</v>
      </c>
      <c r="G417" t="s">
        <v>37</v>
      </c>
      <c r="H417" t="s">
        <v>64</v>
      </c>
      <c r="I417">
        <v>5</v>
      </c>
      <c r="J417">
        <v>8500</v>
      </c>
      <c r="K417">
        <v>5100</v>
      </c>
      <c r="L417">
        <v>9.5000000000000001E-2</v>
      </c>
      <c r="M417">
        <v>0</v>
      </c>
      <c r="N417">
        <v>21</v>
      </c>
      <c r="O417">
        <v>7692.5</v>
      </c>
      <c r="P417">
        <v>38462.5</v>
      </c>
      <c r="Q417">
        <v>25500</v>
      </c>
      <c r="R417">
        <v>12962.5</v>
      </c>
      <c r="S417">
        <v>33.700000000000003</v>
      </c>
      <c r="T417">
        <v>0.06</v>
      </c>
      <c r="U417">
        <v>2307.75</v>
      </c>
    </row>
    <row r="418" spans="1:21" x14ac:dyDescent="0.2">
      <c r="A418" t="s">
        <v>479</v>
      </c>
      <c r="B418" t="s">
        <v>34</v>
      </c>
      <c r="C418" t="s">
        <v>35</v>
      </c>
      <c r="D418" t="s">
        <v>40</v>
      </c>
      <c r="E418" t="s">
        <v>41</v>
      </c>
      <c r="F418" t="s">
        <v>51</v>
      </c>
      <c r="G418" t="s">
        <v>37</v>
      </c>
      <c r="H418" t="s">
        <v>70</v>
      </c>
      <c r="I418">
        <v>14</v>
      </c>
      <c r="J418">
        <v>32000</v>
      </c>
      <c r="K418">
        <v>19200</v>
      </c>
      <c r="L418">
        <v>4.3999999999999997E-2</v>
      </c>
      <c r="M418">
        <v>1</v>
      </c>
      <c r="N418">
        <v>15</v>
      </c>
      <c r="O418">
        <v>30592</v>
      </c>
      <c r="P418">
        <v>428288</v>
      </c>
      <c r="Q418">
        <v>268800</v>
      </c>
      <c r="R418">
        <v>159488</v>
      </c>
      <c r="S418">
        <v>37.200000000000003</v>
      </c>
      <c r="T418">
        <v>2.5000000000000001E-2</v>
      </c>
      <c r="U418">
        <v>10707.2</v>
      </c>
    </row>
    <row r="419" spans="1:21" x14ac:dyDescent="0.2">
      <c r="A419" t="s">
        <v>480</v>
      </c>
      <c r="B419" t="s">
        <v>30</v>
      </c>
      <c r="C419" t="s">
        <v>50</v>
      </c>
      <c r="D419" t="s">
        <v>45</v>
      </c>
      <c r="E419" t="s">
        <v>25</v>
      </c>
      <c r="F419" t="s">
        <v>26</v>
      </c>
      <c r="G419" t="s">
        <v>27</v>
      </c>
      <c r="H419" t="s">
        <v>48</v>
      </c>
      <c r="I419">
        <v>10</v>
      </c>
      <c r="J419">
        <v>35000</v>
      </c>
      <c r="K419">
        <v>21000</v>
      </c>
      <c r="L419">
        <v>2.1000000000000001E-2</v>
      </c>
      <c r="M419">
        <v>0</v>
      </c>
      <c r="N419">
        <v>3</v>
      </c>
      <c r="O419">
        <v>34265</v>
      </c>
      <c r="P419">
        <v>342650</v>
      </c>
      <c r="Q419">
        <v>210000</v>
      </c>
      <c r="R419">
        <v>132650</v>
      </c>
      <c r="S419">
        <v>38.700000000000003</v>
      </c>
      <c r="T419">
        <v>0.06</v>
      </c>
      <c r="U419">
        <v>20559</v>
      </c>
    </row>
    <row r="420" spans="1:21" x14ac:dyDescent="0.2">
      <c r="A420" t="s">
        <v>481</v>
      </c>
      <c r="B420" t="s">
        <v>22</v>
      </c>
      <c r="C420" t="s">
        <v>23</v>
      </c>
      <c r="D420" t="s">
        <v>67</v>
      </c>
      <c r="E420" t="s">
        <v>41</v>
      </c>
      <c r="F420" t="s">
        <v>86</v>
      </c>
      <c r="G420" t="s">
        <v>87</v>
      </c>
      <c r="H420" t="s">
        <v>70</v>
      </c>
      <c r="I420">
        <v>14</v>
      </c>
      <c r="J420">
        <v>28000</v>
      </c>
      <c r="K420">
        <v>16800</v>
      </c>
      <c r="L420">
        <v>0.10299999999999999</v>
      </c>
      <c r="M420">
        <v>0</v>
      </c>
      <c r="N420">
        <v>22</v>
      </c>
      <c r="O420">
        <v>25116</v>
      </c>
      <c r="P420">
        <v>351624</v>
      </c>
      <c r="Q420">
        <v>235200</v>
      </c>
      <c r="R420">
        <v>116424</v>
      </c>
      <c r="S420">
        <v>33.1</v>
      </c>
      <c r="T420">
        <v>2.5000000000000001E-2</v>
      </c>
      <c r="U420">
        <v>8790.6</v>
      </c>
    </row>
    <row r="421" spans="1:21" x14ac:dyDescent="0.2">
      <c r="A421" t="s">
        <v>482</v>
      </c>
      <c r="B421" t="s">
        <v>54</v>
      </c>
      <c r="C421" t="s">
        <v>35</v>
      </c>
      <c r="D421" t="s">
        <v>31</v>
      </c>
      <c r="E421" t="s">
        <v>25</v>
      </c>
      <c r="F421" t="s">
        <v>26</v>
      </c>
      <c r="G421" t="s">
        <v>27</v>
      </c>
      <c r="H421" t="s">
        <v>59</v>
      </c>
      <c r="I421">
        <v>10</v>
      </c>
      <c r="J421">
        <v>35000</v>
      </c>
      <c r="K421">
        <v>21000</v>
      </c>
      <c r="L421">
        <v>0.02</v>
      </c>
      <c r="M421">
        <v>1</v>
      </c>
      <c r="N421">
        <v>29</v>
      </c>
      <c r="O421">
        <v>34300</v>
      </c>
      <c r="P421">
        <v>343000</v>
      </c>
      <c r="Q421">
        <v>210000</v>
      </c>
      <c r="R421">
        <v>133000</v>
      </c>
      <c r="S421">
        <v>38.799999999999997</v>
      </c>
      <c r="T421">
        <v>0.06</v>
      </c>
      <c r="U421">
        <v>20580</v>
      </c>
    </row>
    <row r="422" spans="1:21" x14ac:dyDescent="0.2">
      <c r="A422" t="s">
        <v>483</v>
      </c>
      <c r="B422" t="s">
        <v>54</v>
      </c>
      <c r="C422" t="s">
        <v>35</v>
      </c>
      <c r="D422" t="s">
        <v>67</v>
      </c>
      <c r="E422" t="s">
        <v>41</v>
      </c>
      <c r="F422" t="s">
        <v>51</v>
      </c>
      <c r="G422" t="s">
        <v>37</v>
      </c>
      <c r="H422" t="s">
        <v>32</v>
      </c>
      <c r="I422">
        <v>5</v>
      </c>
      <c r="J422">
        <v>32000</v>
      </c>
      <c r="K422">
        <v>19200</v>
      </c>
      <c r="L422">
        <v>7.0000000000000007E-2</v>
      </c>
      <c r="M422">
        <v>1</v>
      </c>
      <c r="N422">
        <v>7</v>
      </c>
      <c r="O422">
        <v>29760</v>
      </c>
      <c r="P422">
        <v>148800</v>
      </c>
      <c r="Q422">
        <v>96000</v>
      </c>
      <c r="R422">
        <v>52800</v>
      </c>
      <c r="S422">
        <v>35.5</v>
      </c>
      <c r="T422">
        <v>2.5000000000000001E-2</v>
      </c>
      <c r="U422">
        <v>3720</v>
      </c>
    </row>
    <row r="423" spans="1:21" x14ac:dyDescent="0.2">
      <c r="A423" t="s">
        <v>484</v>
      </c>
      <c r="B423" t="s">
        <v>30</v>
      </c>
      <c r="C423" t="s">
        <v>50</v>
      </c>
      <c r="D423" t="s">
        <v>45</v>
      </c>
      <c r="E423" t="s">
        <v>25</v>
      </c>
      <c r="F423" t="s">
        <v>46</v>
      </c>
      <c r="G423" t="s">
        <v>47</v>
      </c>
      <c r="H423" t="s">
        <v>28</v>
      </c>
      <c r="I423">
        <v>8</v>
      </c>
      <c r="J423">
        <v>95000</v>
      </c>
      <c r="K423">
        <v>57000</v>
      </c>
      <c r="L423">
        <v>0.02</v>
      </c>
      <c r="M423">
        <v>0</v>
      </c>
      <c r="N423">
        <v>39</v>
      </c>
      <c r="O423">
        <v>93100</v>
      </c>
      <c r="P423">
        <v>744800</v>
      </c>
      <c r="Q423">
        <v>456000</v>
      </c>
      <c r="R423">
        <v>288800</v>
      </c>
      <c r="S423">
        <v>38.799999999999997</v>
      </c>
      <c r="T423">
        <v>0.06</v>
      </c>
      <c r="U423">
        <v>44688</v>
      </c>
    </row>
    <row r="424" spans="1:21" x14ac:dyDescent="0.2">
      <c r="A424" t="s">
        <v>485</v>
      </c>
      <c r="B424" t="s">
        <v>22</v>
      </c>
      <c r="C424" t="s">
        <v>35</v>
      </c>
      <c r="D424" t="s">
        <v>55</v>
      </c>
      <c r="E424" t="s">
        <v>41</v>
      </c>
      <c r="F424" t="s">
        <v>26</v>
      </c>
      <c r="G424" t="s">
        <v>27</v>
      </c>
      <c r="H424" t="s">
        <v>32</v>
      </c>
      <c r="I424">
        <v>2</v>
      </c>
      <c r="J424">
        <v>35000</v>
      </c>
      <c r="K424">
        <v>21000</v>
      </c>
      <c r="L424">
        <v>2.7E-2</v>
      </c>
      <c r="M424">
        <v>1</v>
      </c>
      <c r="N424">
        <v>31</v>
      </c>
      <c r="O424">
        <v>34055</v>
      </c>
      <c r="P424">
        <v>68110</v>
      </c>
      <c r="Q424">
        <v>42000</v>
      </c>
      <c r="R424">
        <v>26110</v>
      </c>
      <c r="S424">
        <v>38.299999999999997</v>
      </c>
      <c r="T424">
        <v>2.5000000000000001E-2</v>
      </c>
      <c r="U424">
        <v>1702.75</v>
      </c>
    </row>
    <row r="425" spans="1:21" x14ac:dyDescent="0.2">
      <c r="A425" t="s">
        <v>486</v>
      </c>
      <c r="B425" t="s">
        <v>34</v>
      </c>
      <c r="C425" t="s">
        <v>35</v>
      </c>
      <c r="D425" t="s">
        <v>67</v>
      </c>
      <c r="E425" t="s">
        <v>41</v>
      </c>
      <c r="F425" t="s">
        <v>73</v>
      </c>
      <c r="G425" t="s">
        <v>74</v>
      </c>
      <c r="H425" t="s">
        <v>32</v>
      </c>
      <c r="I425">
        <v>8</v>
      </c>
      <c r="J425">
        <v>22000</v>
      </c>
      <c r="K425">
        <v>13200</v>
      </c>
      <c r="L425">
        <v>0.191</v>
      </c>
      <c r="M425">
        <v>1</v>
      </c>
      <c r="N425">
        <v>39</v>
      </c>
      <c r="O425">
        <v>17798</v>
      </c>
      <c r="P425">
        <v>142384</v>
      </c>
      <c r="Q425">
        <v>105600</v>
      </c>
      <c r="R425">
        <v>36784</v>
      </c>
      <c r="S425">
        <v>25.8</v>
      </c>
      <c r="T425">
        <v>2.5000000000000001E-2</v>
      </c>
      <c r="U425">
        <v>3559.6</v>
      </c>
    </row>
    <row r="426" spans="1:21" x14ac:dyDescent="0.2">
      <c r="A426" t="s">
        <v>487</v>
      </c>
      <c r="B426" t="s">
        <v>34</v>
      </c>
      <c r="C426" t="s">
        <v>50</v>
      </c>
      <c r="D426" t="s">
        <v>40</v>
      </c>
      <c r="E426" t="s">
        <v>41</v>
      </c>
      <c r="F426" t="s">
        <v>73</v>
      </c>
      <c r="G426" t="s">
        <v>74</v>
      </c>
      <c r="H426" t="s">
        <v>64</v>
      </c>
      <c r="I426">
        <v>13</v>
      </c>
      <c r="J426">
        <v>22000</v>
      </c>
      <c r="K426">
        <v>13200</v>
      </c>
      <c r="L426">
        <v>0.152</v>
      </c>
      <c r="M426">
        <v>1</v>
      </c>
      <c r="N426">
        <v>6</v>
      </c>
      <c r="O426">
        <v>18656</v>
      </c>
      <c r="P426">
        <v>242528</v>
      </c>
      <c r="Q426">
        <v>171600</v>
      </c>
      <c r="R426">
        <v>70928</v>
      </c>
      <c r="S426">
        <v>29.2</v>
      </c>
      <c r="T426">
        <v>2.5000000000000001E-2</v>
      </c>
      <c r="U426">
        <v>6063.2</v>
      </c>
    </row>
    <row r="427" spans="1:21" x14ac:dyDescent="0.2">
      <c r="A427" t="s">
        <v>488</v>
      </c>
      <c r="B427" t="s">
        <v>54</v>
      </c>
      <c r="C427" t="s">
        <v>50</v>
      </c>
      <c r="D427" t="s">
        <v>40</v>
      </c>
      <c r="E427" t="s">
        <v>41</v>
      </c>
      <c r="F427" t="s">
        <v>26</v>
      </c>
      <c r="G427" t="s">
        <v>27</v>
      </c>
      <c r="H427" t="s">
        <v>48</v>
      </c>
      <c r="I427">
        <v>5</v>
      </c>
      <c r="J427">
        <v>35000</v>
      </c>
      <c r="K427">
        <v>21000</v>
      </c>
      <c r="L427">
        <v>1.2E-2</v>
      </c>
      <c r="M427">
        <v>1</v>
      </c>
      <c r="N427">
        <v>16</v>
      </c>
      <c r="O427">
        <v>34580</v>
      </c>
      <c r="P427">
        <v>172900</v>
      </c>
      <c r="Q427">
        <v>105000</v>
      </c>
      <c r="R427">
        <v>67900</v>
      </c>
      <c r="S427">
        <v>39.299999999999997</v>
      </c>
      <c r="T427">
        <v>2.5000000000000001E-2</v>
      </c>
      <c r="U427">
        <v>4322.5</v>
      </c>
    </row>
    <row r="428" spans="1:21" x14ac:dyDescent="0.2">
      <c r="A428" t="s">
        <v>489</v>
      </c>
      <c r="B428" t="s">
        <v>34</v>
      </c>
      <c r="C428" t="s">
        <v>35</v>
      </c>
      <c r="D428" t="s">
        <v>31</v>
      </c>
      <c r="E428" t="s">
        <v>25</v>
      </c>
      <c r="F428" t="s">
        <v>26</v>
      </c>
      <c r="G428" t="s">
        <v>27</v>
      </c>
      <c r="H428" t="s">
        <v>52</v>
      </c>
      <c r="I428">
        <v>11</v>
      </c>
      <c r="J428">
        <v>35000</v>
      </c>
      <c r="K428">
        <v>21000</v>
      </c>
      <c r="L428">
        <v>6.2E-2</v>
      </c>
      <c r="M428">
        <v>0</v>
      </c>
      <c r="N428">
        <v>11</v>
      </c>
      <c r="O428">
        <v>32830</v>
      </c>
      <c r="P428">
        <v>361130</v>
      </c>
      <c r="Q428">
        <v>231000</v>
      </c>
      <c r="R428">
        <v>130130</v>
      </c>
      <c r="S428">
        <v>36</v>
      </c>
      <c r="T428">
        <v>0.06</v>
      </c>
      <c r="U428">
        <v>21667.8</v>
      </c>
    </row>
    <row r="429" spans="1:21" x14ac:dyDescent="0.2">
      <c r="A429" t="s">
        <v>490</v>
      </c>
      <c r="B429" t="s">
        <v>54</v>
      </c>
      <c r="C429" t="s">
        <v>44</v>
      </c>
      <c r="D429" t="s">
        <v>67</v>
      </c>
      <c r="E429" t="s">
        <v>41</v>
      </c>
      <c r="F429" t="s">
        <v>73</v>
      </c>
      <c r="G429" t="s">
        <v>74</v>
      </c>
      <c r="H429" t="s">
        <v>59</v>
      </c>
      <c r="I429">
        <v>9</v>
      </c>
      <c r="J429">
        <v>22000</v>
      </c>
      <c r="K429">
        <v>13200</v>
      </c>
      <c r="L429">
        <v>4.2000000000000003E-2</v>
      </c>
      <c r="M429">
        <v>1</v>
      </c>
      <c r="N429">
        <v>22</v>
      </c>
      <c r="O429">
        <v>21076</v>
      </c>
      <c r="P429">
        <v>189684</v>
      </c>
      <c r="Q429">
        <v>118800</v>
      </c>
      <c r="R429">
        <v>70884</v>
      </c>
      <c r="S429">
        <v>37.4</v>
      </c>
      <c r="T429">
        <v>2.5000000000000001E-2</v>
      </c>
      <c r="U429">
        <v>4742.1000000000004</v>
      </c>
    </row>
    <row r="430" spans="1:21" x14ac:dyDescent="0.2">
      <c r="A430" t="s">
        <v>491</v>
      </c>
      <c r="B430" t="s">
        <v>34</v>
      </c>
      <c r="C430" t="s">
        <v>35</v>
      </c>
      <c r="D430" t="s">
        <v>45</v>
      </c>
      <c r="E430" t="s">
        <v>25</v>
      </c>
      <c r="F430" t="s">
        <v>36</v>
      </c>
      <c r="G430" t="s">
        <v>37</v>
      </c>
      <c r="H430" t="s">
        <v>42</v>
      </c>
      <c r="I430">
        <v>11</v>
      </c>
      <c r="J430">
        <v>8500</v>
      </c>
      <c r="K430">
        <v>5100</v>
      </c>
      <c r="L430">
        <v>2.3E-2</v>
      </c>
      <c r="M430">
        <v>1</v>
      </c>
      <c r="N430">
        <v>42</v>
      </c>
      <c r="O430">
        <v>8304.5</v>
      </c>
      <c r="P430">
        <v>91349.5</v>
      </c>
      <c r="Q430">
        <v>56100</v>
      </c>
      <c r="R430">
        <v>35249.5</v>
      </c>
      <c r="S430">
        <v>38.6</v>
      </c>
      <c r="T430">
        <v>0.06</v>
      </c>
      <c r="U430">
        <v>5480.97</v>
      </c>
    </row>
    <row r="431" spans="1:21" x14ac:dyDescent="0.2">
      <c r="A431" t="s">
        <v>492</v>
      </c>
      <c r="B431" t="s">
        <v>54</v>
      </c>
      <c r="C431" t="s">
        <v>35</v>
      </c>
      <c r="D431" t="s">
        <v>40</v>
      </c>
      <c r="E431" t="s">
        <v>41</v>
      </c>
      <c r="F431" t="s">
        <v>62</v>
      </c>
      <c r="G431" t="s">
        <v>57</v>
      </c>
      <c r="H431" t="s">
        <v>28</v>
      </c>
      <c r="I431">
        <v>14</v>
      </c>
      <c r="J431">
        <v>45000</v>
      </c>
      <c r="K431">
        <v>27000</v>
      </c>
      <c r="L431">
        <v>8.3000000000000004E-2</v>
      </c>
      <c r="M431">
        <v>0</v>
      </c>
      <c r="N431">
        <v>35</v>
      </c>
      <c r="O431">
        <v>41265</v>
      </c>
      <c r="P431">
        <v>577710</v>
      </c>
      <c r="Q431">
        <v>378000</v>
      </c>
      <c r="R431">
        <v>199710</v>
      </c>
      <c r="S431">
        <v>34.6</v>
      </c>
      <c r="T431">
        <v>2.5000000000000001E-2</v>
      </c>
      <c r="U431">
        <v>14442.75</v>
      </c>
    </row>
    <row r="432" spans="1:21" x14ac:dyDescent="0.2">
      <c r="A432" t="s">
        <v>493</v>
      </c>
      <c r="B432" t="s">
        <v>22</v>
      </c>
      <c r="C432" t="s">
        <v>44</v>
      </c>
      <c r="D432" t="s">
        <v>45</v>
      </c>
      <c r="E432" t="s">
        <v>25</v>
      </c>
      <c r="F432" t="s">
        <v>46</v>
      </c>
      <c r="G432" t="s">
        <v>47</v>
      </c>
      <c r="H432" t="s">
        <v>64</v>
      </c>
      <c r="I432">
        <v>1</v>
      </c>
      <c r="J432">
        <v>95000</v>
      </c>
      <c r="K432">
        <v>57000</v>
      </c>
      <c r="L432">
        <v>2E-3</v>
      </c>
      <c r="M432">
        <v>0</v>
      </c>
      <c r="N432">
        <v>18</v>
      </c>
      <c r="O432">
        <v>94810</v>
      </c>
      <c r="P432">
        <v>94810</v>
      </c>
      <c r="Q432">
        <v>57000</v>
      </c>
      <c r="R432">
        <v>37810</v>
      </c>
      <c r="S432">
        <v>39.9</v>
      </c>
      <c r="T432">
        <v>0.06</v>
      </c>
      <c r="U432">
        <v>5688.6</v>
      </c>
    </row>
    <row r="433" spans="1:21" x14ac:dyDescent="0.2">
      <c r="A433" t="s">
        <v>494</v>
      </c>
      <c r="B433" t="s">
        <v>30</v>
      </c>
      <c r="C433" t="s">
        <v>44</v>
      </c>
      <c r="D433" t="s">
        <v>55</v>
      </c>
      <c r="E433" t="s">
        <v>41</v>
      </c>
      <c r="F433" t="s">
        <v>36</v>
      </c>
      <c r="G433" t="s">
        <v>37</v>
      </c>
      <c r="H433" t="s">
        <v>48</v>
      </c>
      <c r="I433">
        <v>6</v>
      </c>
      <c r="J433">
        <v>8500</v>
      </c>
      <c r="K433">
        <v>5100</v>
      </c>
      <c r="L433">
        <v>4.4999999999999998E-2</v>
      </c>
      <c r="M433">
        <v>1</v>
      </c>
      <c r="N433">
        <v>25</v>
      </c>
      <c r="O433">
        <v>8117.5</v>
      </c>
      <c r="P433">
        <v>48705</v>
      </c>
      <c r="Q433">
        <v>30600</v>
      </c>
      <c r="R433">
        <v>18105</v>
      </c>
      <c r="S433">
        <v>37.200000000000003</v>
      </c>
      <c r="T433">
        <v>2.5000000000000001E-2</v>
      </c>
      <c r="U433">
        <v>1217.6199999999999</v>
      </c>
    </row>
    <row r="434" spans="1:21" x14ac:dyDescent="0.2">
      <c r="A434" t="s">
        <v>495</v>
      </c>
      <c r="B434" t="s">
        <v>34</v>
      </c>
      <c r="C434" t="s">
        <v>50</v>
      </c>
      <c r="D434" t="s">
        <v>67</v>
      </c>
      <c r="E434" t="s">
        <v>41</v>
      </c>
      <c r="F434" t="s">
        <v>56</v>
      </c>
      <c r="G434" t="s">
        <v>57</v>
      </c>
      <c r="H434" t="s">
        <v>64</v>
      </c>
      <c r="I434">
        <v>13</v>
      </c>
      <c r="J434">
        <v>180000</v>
      </c>
      <c r="K434">
        <v>108000</v>
      </c>
      <c r="L434">
        <v>0.13600000000000001</v>
      </c>
      <c r="M434">
        <v>1</v>
      </c>
      <c r="N434">
        <v>30</v>
      </c>
      <c r="O434">
        <v>155520</v>
      </c>
      <c r="P434">
        <v>2021760</v>
      </c>
      <c r="Q434">
        <v>1404000</v>
      </c>
      <c r="R434">
        <v>617760</v>
      </c>
      <c r="S434">
        <v>30.6</v>
      </c>
      <c r="T434">
        <v>2.5000000000000001E-2</v>
      </c>
      <c r="U434">
        <v>50544</v>
      </c>
    </row>
    <row r="435" spans="1:21" x14ac:dyDescent="0.2">
      <c r="A435" t="s">
        <v>496</v>
      </c>
      <c r="B435" t="s">
        <v>54</v>
      </c>
      <c r="C435" t="s">
        <v>35</v>
      </c>
      <c r="D435" t="s">
        <v>31</v>
      </c>
      <c r="E435" t="s">
        <v>25</v>
      </c>
      <c r="F435" t="s">
        <v>36</v>
      </c>
      <c r="G435" t="s">
        <v>37</v>
      </c>
      <c r="H435" t="s">
        <v>64</v>
      </c>
      <c r="I435">
        <v>3</v>
      </c>
      <c r="J435">
        <v>8500</v>
      </c>
      <c r="K435">
        <v>5100</v>
      </c>
      <c r="L435">
        <v>7.0999999999999994E-2</v>
      </c>
      <c r="M435">
        <v>0</v>
      </c>
      <c r="N435">
        <v>24</v>
      </c>
      <c r="O435">
        <v>7896.5</v>
      </c>
      <c r="P435">
        <v>23689.5</v>
      </c>
      <c r="Q435">
        <v>15300</v>
      </c>
      <c r="R435">
        <v>8389.5</v>
      </c>
      <c r="S435">
        <v>35.4</v>
      </c>
      <c r="T435">
        <v>0.06</v>
      </c>
      <c r="U435">
        <v>1421.37</v>
      </c>
    </row>
    <row r="436" spans="1:21" x14ac:dyDescent="0.2">
      <c r="A436" t="s">
        <v>497</v>
      </c>
      <c r="B436" t="s">
        <v>30</v>
      </c>
      <c r="C436" t="s">
        <v>44</v>
      </c>
      <c r="D436" t="s">
        <v>83</v>
      </c>
      <c r="E436" t="s">
        <v>25</v>
      </c>
      <c r="F436" t="s">
        <v>56</v>
      </c>
      <c r="G436" t="s">
        <v>57</v>
      </c>
      <c r="H436" t="s">
        <v>52</v>
      </c>
      <c r="I436">
        <v>12</v>
      </c>
      <c r="J436">
        <v>180000</v>
      </c>
      <c r="K436">
        <v>108000</v>
      </c>
      <c r="L436">
        <v>1.7999999999999999E-2</v>
      </c>
      <c r="M436">
        <v>1</v>
      </c>
      <c r="N436">
        <v>8</v>
      </c>
      <c r="O436">
        <v>176760</v>
      </c>
      <c r="P436">
        <v>2121120</v>
      </c>
      <c r="Q436">
        <v>1296000</v>
      </c>
      <c r="R436">
        <v>825120</v>
      </c>
      <c r="S436">
        <v>38.9</v>
      </c>
      <c r="T436">
        <v>0.06</v>
      </c>
      <c r="U436">
        <v>127267.2</v>
      </c>
    </row>
    <row r="437" spans="1:21" x14ac:dyDescent="0.2">
      <c r="A437" t="s">
        <v>498</v>
      </c>
      <c r="B437" t="s">
        <v>22</v>
      </c>
      <c r="C437" t="s">
        <v>35</v>
      </c>
      <c r="D437" t="s">
        <v>67</v>
      </c>
      <c r="E437" t="s">
        <v>41</v>
      </c>
      <c r="F437" t="s">
        <v>36</v>
      </c>
      <c r="G437" t="s">
        <v>37</v>
      </c>
      <c r="H437" t="s">
        <v>42</v>
      </c>
      <c r="I437">
        <v>7</v>
      </c>
      <c r="J437">
        <v>8500</v>
      </c>
      <c r="K437">
        <v>5100</v>
      </c>
      <c r="L437">
        <v>0.01</v>
      </c>
      <c r="M437">
        <v>1</v>
      </c>
      <c r="N437">
        <v>8</v>
      </c>
      <c r="O437">
        <v>8415</v>
      </c>
      <c r="P437">
        <v>58905</v>
      </c>
      <c r="Q437">
        <v>35700</v>
      </c>
      <c r="R437">
        <v>23205</v>
      </c>
      <c r="S437">
        <v>39.4</v>
      </c>
      <c r="T437">
        <v>2.5000000000000001E-2</v>
      </c>
      <c r="U437">
        <v>1472.62</v>
      </c>
    </row>
    <row r="438" spans="1:21" x14ac:dyDescent="0.2">
      <c r="A438" t="s">
        <v>499</v>
      </c>
      <c r="B438" t="s">
        <v>34</v>
      </c>
      <c r="C438" t="s">
        <v>35</v>
      </c>
      <c r="D438" t="s">
        <v>55</v>
      </c>
      <c r="E438" t="s">
        <v>41</v>
      </c>
      <c r="F438" t="s">
        <v>26</v>
      </c>
      <c r="G438" t="s">
        <v>27</v>
      </c>
      <c r="H438" t="s">
        <v>32</v>
      </c>
      <c r="I438">
        <v>1</v>
      </c>
      <c r="J438">
        <v>35000</v>
      </c>
      <c r="K438">
        <v>21000</v>
      </c>
      <c r="L438">
        <v>0.151</v>
      </c>
      <c r="M438">
        <v>1</v>
      </c>
      <c r="N438">
        <v>30</v>
      </c>
      <c r="O438">
        <v>29715</v>
      </c>
      <c r="P438">
        <v>29715</v>
      </c>
      <c r="Q438">
        <v>21000</v>
      </c>
      <c r="R438">
        <v>8715</v>
      </c>
      <c r="S438">
        <v>29.3</v>
      </c>
      <c r="T438">
        <v>2.5000000000000001E-2</v>
      </c>
      <c r="U438">
        <v>742.88</v>
      </c>
    </row>
    <row r="439" spans="1:21" x14ac:dyDescent="0.2">
      <c r="A439" t="s">
        <v>500</v>
      </c>
      <c r="B439" t="s">
        <v>54</v>
      </c>
      <c r="C439" t="s">
        <v>44</v>
      </c>
      <c r="D439" t="s">
        <v>24</v>
      </c>
      <c r="E439" t="s">
        <v>25</v>
      </c>
      <c r="F439" t="s">
        <v>62</v>
      </c>
      <c r="G439" t="s">
        <v>57</v>
      </c>
      <c r="H439" t="s">
        <v>42</v>
      </c>
      <c r="I439">
        <v>3</v>
      </c>
      <c r="J439">
        <v>45000</v>
      </c>
      <c r="K439">
        <v>27000</v>
      </c>
      <c r="L439">
        <v>3.3000000000000002E-2</v>
      </c>
      <c r="M439">
        <v>0</v>
      </c>
      <c r="N439">
        <v>3</v>
      </c>
      <c r="O439">
        <v>43515</v>
      </c>
      <c r="P439">
        <v>130545</v>
      </c>
      <c r="Q439">
        <v>81000</v>
      </c>
      <c r="R439">
        <v>49545</v>
      </c>
      <c r="S439">
        <v>38</v>
      </c>
      <c r="T439">
        <v>0.06</v>
      </c>
      <c r="U439">
        <v>7832.7</v>
      </c>
    </row>
    <row r="440" spans="1:21" x14ac:dyDescent="0.2">
      <c r="A440" t="s">
        <v>501</v>
      </c>
      <c r="B440" t="s">
        <v>34</v>
      </c>
      <c r="C440" t="s">
        <v>50</v>
      </c>
      <c r="D440" t="s">
        <v>55</v>
      </c>
      <c r="E440" t="s">
        <v>41</v>
      </c>
      <c r="F440" t="s">
        <v>62</v>
      </c>
      <c r="G440" t="s">
        <v>57</v>
      </c>
      <c r="H440" t="s">
        <v>32</v>
      </c>
      <c r="I440">
        <v>9</v>
      </c>
      <c r="J440">
        <v>45000</v>
      </c>
      <c r="K440">
        <v>27000</v>
      </c>
      <c r="L440">
        <v>8.7999999999999995E-2</v>
      </c>
      <c r="M440">
        <v>0</v>
      </c>
      <c r="N440">
        <v>42</v>
      </c>
      <c r="O440">
        <v>41040</v>
      </c>
      <c r="P440">
        <v>369360</v>
      </c>
      <c r="Q440">
        <v>243000</v>
      </c>
      <c r="R440">
        <v>126360</v>
      </c>
      <c r="S440">
        <v>34.200000000000003</v>
      </c>
      <c r="T440">
        <v>2.5000000000000001E-2</v>
      </c>
      <c r="U440">
        <v>9234</v>
      </c>
    </row>
    <row r="441" spans="1:21" x14ac:dyDescent="0.2">
      <c r="A441" t="s">
        <v>502</v>
      </c>
      <c r="B441" t="s">
        <v>30</v>
      </c>
      <c r="C441" t="s">
        <v>50</v>
      </c>
      <c r="D441" t="s">
        <v>31</v>
      </c>
      <c r="E441" t="s">
        <v>25</v>
      </c>
      <c r="F441" t="s">
        <v>36</v>
      </c>
      <c r="G441" t="s">
        <v>37</v>
      </c>
      <c r="H441" t="s">
        <v>59</v>
      </c>
      <c r="I441">
        <v>9</v>
      </c>
      <c r="J441">
        <v>8500</v>
      </c>
      <c r="K441">
        <v>5100</v>
      </c>
      <c r="L441">
        <v>8.4000000000000005E-2</v>
      </c>
      <c r="M441">
        <v>1</v>
      </c>
      <c r="N441">
        <v>30</v>
      </c>
      <c r="O441">
        <v>7786</v>
      </c>
      <c r="P441">
        <v>70074</v>
      </c>
      <c r="Q441">
        <v>45900</v>
      </c>
      <c r="R441">
        <v>24174</v>
      </c>
      <c r="S441">
        <v>34.5</v>
      </c>
      <c r="T441">
        <v>0.06</v>
      </c>
      <c r="U441">
        <v>4204.4399999999996</v>
      </c>
    </row>
    <row r="442" spans="1:21" x14ac:dyDescent="0.2">
      <c r="A442" t="s">
        <v>503</v>
      </c>
      <c r="B442" t="s">
        <v>34</v>
      </c>
      <c r="C442" t="s">
        <v>44</v>
      </c>
      <c r="D442" t="s">
        <v>45</v>
      </c>
      <c r="E442" t="s">
        <v>25</v>
      </c>
      <c r="F442" t="s">
        <v>36</v>
      </c>
      <c r="G442" t="s">
        <v>37</v>
      </c>
      <c r="H442" t="s">
        <v>52</v>
      </c>
      <c r="I442">
        <v>1</v>
      </c>
      <c r="J442">
        <v>8500</v>
      </c>
      <c r="K442">
        <v>5100</v>
      </c>
      <c r="L442">
        <v>5.8000000000000003E-2</v>
      </c>
      <c r="M442">
        <v>1</v>
      </c>
      <c r="N442">
        <v>31</v>
      </c>
      <c r="O442">
        <v>8007</v>
      </c>
      <c r="P442">
        <v>8007</v>
      </c>
      <c r="Q442">
        <v>5100</v>
      </c>
      <c r="R442">
        <v>2907</v>
      </c>
      <c r="S442">
        <v>36.299999999999997</v>
      </c>
      <c r="T442">
        <v>0.06</v>
      </c>
      <c r="U442">
        <v>480.42</v>
      </c>
    </row>
    <row r="443" spans="1:21" x14ac:dyDescent="0.2">
      <c r="A443" t="s">
        <v>504</v>
      </c>
      <c r="B443" t="s">
        <v>54</v>
      </c>
      <c r="C443" t="s">
        <v>35</v>
      </c>
      <c r="D443" t="s">
        <v>45</v>
      </c>
      <c r="E443" t="s">
        <v>25</v>
      </c>
      <c r="F443" t="s">
        <v>36</v>
      </c>
      <c r="G443" t="s">
        <v>37</v>
      </c>
      <c r="H443" t="s">
        <v>70</v>
      </c>
      <c r="I443">
        <v>3</v>
      </c>
      <c r="J443">
        <v>8500</v>
      </c>
      <c r="K443">
        <v>5100</v>
      </c>
      <c r="L443">
        <v>1.7999999999999999E-2</v>
      </c>
      <c r="M443">
        <v>1</v>
      </c>
      <c r="N443">
        <v>44</v>
      </c>
      <c r="O443">
        <v>8347</v>
      </c>
      <c r="P443">
        <v>25041</v>
      </c>
      <c r="Q443">
        <v>15300</v>
      </c>
      <c r="R443">
        <v>9741</v>
      </c>
      <c r="S443">
        <v>38.9</v>
      </c>
      <c r="T443">
        <v>0.06</v>
      </c>
      <c r="U443">
        <v>1502.46</v>
      </c>
    </row>
    <row r="444" spans="1:21" x14ac:dyDescent="0.2">
      <c r="A444" t="s">
        <v>505</v>
      </c>
      <c r="B444" t="s">
        <v>22</v>
      </c>
      <c r="C444" t="s">
        <v>81</v>
      </c>
      <c r="D444" t="s">
        <v>31</v>
      </c>
      <c r="E444" t="s">
        <v>25</v>
      </c>
      <c r="F444" t="s">
        <v>46</v>
      </c>
      <c r="G444" t="s">
        <v>47</v>
      </c>
      <c r="H444" t="s">
        <v>52</v>
      </c>
      <c r="I444">
        <v>7</v>
      </c>
      <c r="J444">
        <v>95000</v>
      </c>
      <c r="K444">
        <v>57000</v>
      </c>
      <c r="L444">
        <v>5.0000000000000001E-3</v>
      </c>
      <c r="M444">
        <v>1</v>
      </c>
      <c r="N444">
        <v>39</v>
      </c>
      <c r="O444">
        <v>94525</v>
      </c>
      <c r="P444">
        <v>661675</v>
      </c>
      <c r="Q444">
        <v>399000</v>
      </c>
      <c r="R444">
        <v>262675</v>
      </c>
      <c r="S444">
        <v>39.700000000000003</v>
      </c>
      <c r="T444">
        <v>0.06</v>
      </c>
      <c r="U444">
        <v>39700.5</v>
      </c>
    </row>
    <row r="445" spans="1:21" x14ac:dyDescent="0.2">
      <c r="A445" t="s">
        <v>506</v>
      </c>
      <c r="B445" t="s">
        <v>22</v>
      </c>
      <c r="C445" t="s">
        <v>44</v>
      </c>
      <c r="D445" t="s">
        <v>55</v>
      </c>
      <c r="E445" t="s">
        <v>41</v>
      </c>
      <c r="F445" t="s">
        <v>46</v>
      </c>
      <c r="G445" t="s">
        <v>47</v>
      </c>
      <c r="H445" t="s">
        <v>75</v>
      </c>
      <c r="I445">
        <v>12</v>
      </c>
      <c r="J445">
        <v>95000</v>
      </c>
      <c r="K445">
        <v>57000</v>
      </c>
      <c r="L445">
        <v>7.4999999999999997E-2</v>
      </c>
      <c r="M445">
        <v>1</v>
      </c>
      <c r="N445">
        <v>29</v>
      </c>
      <c r="O445">
        <v>87875</v>
      </c>
      <c r="P445">
        <v>1054500</v>
      </c>
      <c r="Q445">
        <v>684000</v>
      </c>
      <c r="R445">
        <v>370500</v>
      </c>
      <c r="S445">
        <v>35.1</v>
      </c>
      <c r="T445">
        <v>2.5000000000000001E-2</v>
      </c>
      <c r="U445">
        <v>26362.5</v>
      </c>
    </row>
    <row r="446" spans="1:21" x14ac:dyDescent="0.2">
      <c r="A446" t="s">
        <v>507</v>
      </c>
      <c r="B446" t="s">
        <v>30</v>
      </c>
      <c r="C446" t="s">
        <v>23</v>
      </c>
      <c r="D446" t="s">
        <v>55</v>
      </c>
      <c r="E446" t="s">
        <v>41</v>
      </c>
      <c r="F446" t="s">
        <v>36</v>
      </c>
      <c r="G446" t="s">
        <v>37</v>
      </c>
      <c r="H446" t="s">
        <v>32</v>
      </c>
      <c r="I446">
        <v>10</v>
      </c>
      <c r="J446">
        <v>8500</v>
      </c>
      <c r="K446">
        <v>5100</v>
      </c>
      <c r="L446">
        <v>3.2000000000000001E-2</v>
      </c>
      <c r="M446">
        <v>0</v>
      </c>
      <c r="N446">
        <v>10</v>
      </c>
      <c r="O446">
        <v>8228</v>
      </c>
      <c r="P446">
        <v>82280</v>
      </c>
      <c r="Q446">
        <v>51000</v>
      </c>
      <c r="R446">
        <v>31280</v>
      </c>
      <c r="S446">
        <v>38</v>
      </c>
      <c r="T446">
        <v>2.5000000000000001E-2</v>
      </c>
      <c r="U446">
        <v>2057</v>
      </c>
    </row>
    <row r="447" spans="1:21" x14ac:dyDescent="0.2">
      <c r="A447" t="s">
        <v>508</v>
      </c>
      <c r="B447" t="s">
        <v>30</v>
      </c>
      <c r="C447" t="s">
        <v>35</v>
      </c>
      <c r="D447" t="s">
        <v>31</v>
      </c>
      <c r="E447" t="s">
        <v>25</v>
      </c>
      <c r="F447" t="s">
        <v>73</v>
      </c>
      <c r="G447" t="s">
        <v>74</v>
      </c>
      <c r="H447" t="s">
        <v>64</v>
      </c>
      <c r="I447">
        <v>9</v>
      </c>
      <c r="J447">
        <v>22000</v>
      </c>
      <c r="K447">
        <v>13200</v>
      </c>
      <c r="L447">
        <v>7.9000000000000001E-2</v>
      </c>
      <c r="M447">
        <v>1</v>
      </c>
      <c r="N447">
        <v>7</v>
      </c>
      <c r="O447">
        <v>20262</v>
      </c>
      <c r="P447">
        <v>182358</v>
      </c>
      <c r="Q447">
        <v>118800</v>
      </c>
      <c r="R447">
        <v>63558</v>
      </c>
      <c r="S447">
        <v>34.9</v>
      </c>
      <c r="T447">
        <v>0.06</v>
      </c>
      <c r="U447">
        <v>10941.48</v>
      </c>
    </row>
    <row r="448" spans="1:21" x14ac:dyDescent="0.2">
      <c r="A448" t="s">
        <v>509</v>
      </c>
      <c r="B448" t="s">
        <v>30</v>
      </c>
      <c r="C448" t="s">
        <v>81</v>
      </c>
      <c r="D448" t="s">
        <v>40</v>
      </c>
      <c r="E448" t="s">
        <v>41</v>
      </c>
      <c r="F448" t="s">
        <v>46</v>
      </c>
      <c r="G448" t="s">
        <v>47</v>
      </c>
      <c r="H448" t="s">
        <v>28</v>
      </c>
      <c r="I448">
        <v>14</v>
      </c>
      <c r="J448">
        <v>95000</v>
      </c>
      <c r="K448">
        <v>57000</v>
      </c>
      <c r="L448">
        <v>0.17</v>
      </c>
      <c r="M448">
        <v>1</v>
      </c>
      <c r="N448">
        <v>43</v>
      </c>
      <c r="O448">
        <v>78850</v>
      </c>
      <c r="P448">
        <v>1103900</v>
      </c>
      <c r="Q448">
        <v>798000</v>
      </c>
      <c r="R448">
        <v>305900</v>
      </c>
      <c r="S448">
        <v>27.7</v>
      </c>
      <c r="T448">
        <v>2.5000000000000001E-2</v>
      </c>
      <c r="U448">
        <v>27597.5</v>
      </c>
    </row>
    <row r="449" spans="1:21" x14ac:dyDescent="0.2">
      <c r="A449" t="s">
        <v>510</v>
      </c>
      <c r="B449" t="s">
        <v>22</v>
      </c>
      <c r="C449" t="s">
        <v>23</v>
      </c>
      <c r="D449" t="s">
        <v>45</v>
      </c>
      <c r="E449" t="s">
        <v>25</v>
      </c>
      <c r="F449" t="s">
        <v>73</v>
      </c>
      <c r="G449" t="s">
        <v>74</v>
      </c>
      <c r="H449" t="s">
        <v>48</v>
      </c>
      <c r="I449">
        <v>12</v>
      </c>
      <c r="J449">
        <v>22000</v>
      </c>
      <c r="K449">
        <v>13200</v>
      </c>
      <c r="L449">
        <v>5.6000000000000001E-2</v>
      </c>
      <c r="M449">
        <v>1</v>
      </c>
      <c r="N449">
        <v>39</v>
      </c>
      <c r="O449">
        <v>20768</v>
      </c>
      <c r="P449">
        <v>249216</v>
      </c>
      <c r="Q449">
        <v>158400</v>
      </c>
      <c r="R449">
        <v>90816</v>
      </c>
      <c r="S449">
        <v>36.4</v>
      </c>
      <c r="T449">
        <v>0.06</v>
      </c>
      <c r="U449">
        <v>14952.96</v>
      </c>
    </row>
    <row r="450" spans="1:21" x14ac:dyDescent="0.2">
      <c r="A450" t="s">
        <v>511</v>
      </c>
      <c r="B450" t="s">
        <v>22</v>
      </c>
      <c r="C450" t="s">
        <v>44</v>
      </c>
      <c r="D450" t="s">
        <v>67</v>
      </c>
      <c r="E450" t="s">
        <v>41</v>
      </c>
      <c r="F450" t="s">
        <v>51</v>
      </c>
      <c r="G450" t="s">
        <v>37</v>
      </c>
      <c r="H450" t="s">
        <v>59</v>
      </c>
      <c r="I450">
        <v>7</v>
      </c>
      <c r="J450">
        <v>32000</v>
      </c>
      <c r="K450">
        <v>19200</v>
      </c>
      <c r="L450">
        <v>0.183</v>
      </c>
      <c r="M450">
        <v>1</v>
      </c>
      <c r="N450">
        <v>8</v>
      </c>
      <c r="O450">
        <v>26144</v>
      </c>
      <c r="P450">
        <v>183008</v>
      </c>
      <c r="Q450">
        <v>134400</v>
      </c>
      <c r="R450">
        <v>48608</v>
      </c>
      <c r="S450">
        <v>26.6</v>
      </c>
      <c r="T450">
        <v>2.5000000000000001E-2</v>
      </c>
      <c r="U450">
        <v>4575.2</v>
      </c>
    </row>
    <row r="451" spans="1:21" x14ac:dyDescent="0.2">
      <c r="A451" t="s">
        <v>512</v>
      </c>
      <c r="B451" t="s">
        <v>30</v>
      </c>
      <c r="C451" t="s">
        <v>44</v>
      </c>
      <c r="D451" t="s">
        <v>67</v>
      </c>
      <c r="E451" t="s">
        <v>41</v>
      </c>
      <c r="F451" t="s">
        <v>62</v>
      </c>
      <c r="G451" t="s">
        <v>57</v>
      </c>
      <c r="H451" t="s">
        <v>32</v>
      </c>
      <c r="I451">
        <v>12</v>
      </c>
      <c r="J451">
        <v>45000</v>
      </c>
      <c r="K451">
        <v>27000</v>
      </c>
      <c r="L451">
        <v>0.193</v>
      </c>
      <c r="M451">
        <v>1</v>
      </c>
      <c r="N451">
        <v>36</v>
      </c>
      <c r="O451">
        <v>36315</v>
      </c>
      <c r="P451">
        <v>435780</v>
      </c>
      <c r="Q451">
        <v>324000</v>
      </c>
      <c r="R451">
        <v>111780</v>
      </c>
      <c r="S451">
        <v>25.7</v>
      </c>
      <c r="T451">
        <v>2.5000000000000001E-2</v>
      </c>
      <c r="U451">
        <v>10894.5</v>
      </c>
    </row>
    <row r="452" spans="1:21" x14ac:dyDescent="0.2">
      <c r="A452" t="s">
        <v>513</v>
      </c>
      <c r="B452" t="s">
        <v>22</v>
      </c>
      <c r="C452" t="s">
        <v>44</v>
      </c>
      <c r="D452" t="s">
        <v>31</v>
      </c>
      <c r="E452" t="s">
        <v>25</v>
      </c>
      <c r="F452" t="s">
        <v>51</v>
      </c>
      <c r="G452" t="s">
        <v>37</v>
      </c>
      <c r="H452" t="s">
        <v>28</v>
      </c>
      <c r="I452">
        <v>2</v>
      </c>
      <c r="J452">
        <v>32000</v>
      </c>
      <c r="K452">
        <v>19200</v>
      </c>
      <c r="L452">
        <v>5.8999999999999997E-2</v>
      </c>
      <c r="M452">
        <v>1</v>
      </c>
      <c r="N452">
        <v>12</v>
      </c>
      <c r="O452">
        <v>30112</v>
      </c>
      <c r="P452">
        <v>60224</v>
      </c>
      <c r="Q452">
        <v>38400</v>
      </c>
      <c r="R452">
        <v>21824</v>
      </c>
      <c r="S452">
        <v>36.200000000000003</v>
      </c>
      <c r="T452">
        <v>0.06</v>
      </c>
      <c r="U452">
        <v>3613.44</v>
      </c>
    </row>
    <row r="453" spans="1:21" x14ac:dyDescent="0.2">
      <c r="A453" t="s">
        <v>514</v>
      </c>
      <c r="B453" t="s">
        <v>22</v>
      </c>
      <c r="C453" t="s">
        <v>23</v>
      </c>
      <c r="D453" t="s">
        <v>24</v>
      </c>
      <c r="E453" t="s">
        <v>25</v>
      </c>
      <c r="F453" t="s">
        <v>46</v>
      </c>
      <c r="G453" t="s">
        <v>47</v>
      </c>
      <c r="H453" t="s">
        <v>32</v>
      </c>
      <c r="I453">
        <v>3</v>
      </c>
      <c r="J453">
        <v>95000</v>
      </c>
      <c r="K453">
        <v>57000</v>
      </c>
      <c r="L453">
        <v>5.0999999999999997E-2</v>
      </c>
      <c r="M453">
        <v>1</v>
      </c>
      <c r="N453">
        <v>39</v>
      </c>
      <c r="O453">
        <v>90155</v>
      </c>
      <c r="P453">
        <v>270465</v>
      </c>
      <c r="Q453">
        <v>171000</v>
      </c>
      <c r="R453">
        <v>99465</v>
      </c>
      <c r="S453">
        <v>36.799999999999997</v>
      </c>
      <c r="T453">
        <v>0.06</v>
      </c>
      <c r="U453">
        <v>16227.9</v>
      </c>
    </row>
    <row r="454" spans="1:21" x14ac:dyDescent="0.2">
      <c r="A454" t="s">
        <v>515</v>
      </c>
      <c r="B454" t="s">
        <v>34</v>
      </c>
      <c r="C454" t="s">
        <v>35</v>
      </c>
      <c r="D454" t="s">
        <v>40</v>
      </c>
      <c r="E454" t="s">
        <v>41</v>
      </c>
      <c r="F454" t="s">
        <v>36</v>
      </c>
      <c r="G454" t="s">
        <v>37</v>
      </c>
      <c r="H454" t="s">
        <v>32</v>
      </c>
      <c r="I454">
        <v>12</v>
      </c>
      <c r="J454">
        <v>8500</v>
      </c>
      <c r="K454">
        <v>5100</v>
      </c>
      <c r="L454">
        <v>0.125</v>
      </c>
      <c r="M454">
        <v>0</v>
      </c>
      <c r="N454">
        <v>5</v>
      </c>
      <c r="O454">
        <v>7437.5</v>
      </c>
      <c r="P454">
        <v>89250</v>
      </c>
      <c r="Q454">
        <v>61200</v>
      </c>
      <c r="R454">
        <v>28050</v>
      </c>
      <c r="S454">
        <v>31.4</v>
      </c>
      <c r="T454">
        <v>2.5000000000000001E-2</v>
      </c>
      <c r="U454">
        <v>2231.25</v>
      </c>
    </row>
    <row r="455" spans="1:21" x14ac:dyDescent="0.2">
      <c r="A455" t="s">
        <v>516</v>
      </c>
      <c r="B455" t="s">
        <v>22</v>
      </c>
      <c r="C455" t="s">
        <v>81</v>
      </c>
      <c r="D455" t="s">
        <v>55</v>
      </c>
      <c r="E455" t="s">
        <v>41</v>
      </c>
      <c r="F455" t="s">
        <v>36</v>
      </c>
      <c r="G455" t="s">
        <v>37</v>
      </c>
      <c r="H455" t="s">
        <v>52</v>
      </c>
      <c r="I455">
        <v>5</v>
      </c>
      <c r="J455">
        <v>8500</v>
      </c>
      <c r="K455">
        <v>5100</v>
      </c>
      <c r="L455">
        <v>1.6E-2</v>
      </c>
      <c r="M455">
        <v>1</v>
      </c>
      <c r="N455">
        <v>39</v>
      </c>
      <c r="O455">
        <v>8364</v>
      </c>
      <c r="P455">
        <v>41820</v>
      </c>
      <c r="Q455">
        <v>25500</v>
      </c>
      <c r="R455">
        <v>16320</v>
      </c>
      <c r="S455">
        <v>39</v>
      </c>
      <c r="T455">
        <v>2.5000000000000001E-2</v>
      </c>
      <c r="U455">
        <v>1045.5</v>
      </c>
    </row>
    <row r="456" spans="1:21" x14ac:dyDescent="0.2">
      <c r="A456" t="s">
        <v>517</v>
      </c>
      <c r="B456" t="s">
        <v>30</v>
      </c>
      <c r="C456" t="s">
        <v>50</v>
      </c>
      <c r="D456" t="s">
        <v>67</v>
      </c>
      <c r="E456" t="s">
        <v>41</v>
      </c>
      <c r="F456" t="s">
        <v>62</v>
      </c>
      <c r="G456" t="s">
        <v>57</v>
      </c>
      <c r="H456" t="s">
        <v>28</v>
      </c>
      <c r="I456">
        <v>10</v>
      </c>
      <c r="J456">
        <v>45000</v>
      </c>
      <c r="K456">
        <v>27000</v>
      </c>
      <c r="L456">
        <v>7.4999999999999997E-2</v>
      </c>
      <c r="M456">
        <v>1</v>
      </c>
      <c r="N456">
        <v>42</v>
      </c>
      <c r="O456">
        <v>41625</v>
      </c>
      <c r="P456">
        <v>416250</v>
      </c>
      <c r="Q456">
        <v>270000</v>
      </c>
      <c r="R456">
        <v>146250</v>
      </c>
      <c r="S456">
        <v>35.1</v>
      </c>
      <c r="T456">
        <v>2.5000000000000001E-2</v>
      </c>
      <c r="U456">
        <v>10406.25</v>
      </c>
    </row>
    <row r="457" spans="1:21" x14ac:dyDescent="0.2">
      <c r="A457" t="s">
        <v>518</v>
      </c>
      <c r="B457" t="s">
        <v>30</v>
      </c>
      <c r="C457" t="s">
        <v>50</v>
      </c>
      <c r="D457" t="s">
        <v>67</v>
      </c>
      <c r="E457" t="s">
        <v>41</v>
      </c>
      <c r="F457" t="s">
        <v>62</v>
      </c>
      <c r="G457" t="s">
        <v>57</v>
      </c>
      <c r="H457" t="s">
        <v>42</v>
      </c>
      <c r="I457">
        <v>2</v>
      </c>
      <c r="J457">
        <v>45000</v>
      </c>
      <c r="K457">
        <v>27000</v>
      </c>
      <c r="L457">
        <v>8.9999999999999993E-3</v>
      </c>
      <c r="M457">
        <v>1</v>
      </c>
      <c r="N457">
        <v>40</v>
      </c>
      <c r="O457">
        <v>44595</v>
      </c>
      <c r="P457">
        <v>89190</v>
      </c>
      <c r="Q457">
        <v>54000</v>
      </c>
      <c r="R457">
        <v>35190</v>
      </c>
      <c r="S457">
        <v>39.5</v>
      </c>
      <c r="T457">
        <v>2.5000000000000001E-2</v>
      </c>
      <c r="U457">
        <v>2229.75</v>
      </c>
    </row>
    <row r="458" spans="1:21" x14ac:dyDescent="0.2">
      <c r="A458" t="s">
        <v>519</v>
      </c>
      <c r="B458" t="s">
        <v>34</v>
      </c>
      <c r="C458" t="s">
        <v>35</v>
      </c>
      <c r="D458" t="s">
        <v>67</v>
      </c>
      <c r="E458" t="s">
        <v>41</v>
      </c>
      <c r="F458" t="s">
        <v>51</v>
      </c>
      <c r="G458" t="s">
        <v>37</v>
      </c>
      <c r="H458" t="s">
        <v>70</v>
      </c>
      <c r="I458">
        <v>10</v>
      </c>
      <c r="J458">
        <v>32000</v>
      </c>
      <c r="K458">
        <v>19200</v>
      </c>
      <c r="L458">
        <v>9.8000000000000004E-2</v>
      </c>
      <c r="M458">
        <v>1</v>
      </c>
      <c r="N458">
        <v>5</v>
      </c>
      <c r="O458">
        <v>28864</v>
      </c>
      <c r="P458">
        <v>288640</v>
      </c>
      <c r="Q458">
        <v>192000</v>
      </c>
      <c r="R458">
        <v>96640</v>
      </c>
      <c r="S458">
        <v>33.5</v>
      </c>
      <c r="T458">
        <v>2.5000000000000001E-2</v>
      </c>
      <c r="U458">
        <v>7216</v>
      </c>
    </row>
    <row r="459" spans="1:21" x14ac:dyDescent="0.2">
      <c r="A459" t="s">
        <v>520</v>
      </c>
      <c r="B459" t="s">
        <v>54</v>
      </c>
      <c r="C459" t="s">
        <v>35</v>
      </c>
      <c r="D459" t="s">
        <v>45</v>
      </c>
      <c r="E459" t="s">
        <v>25</v>
      </c>
      <c r="F459" t="s">
        <v>46</v>
      </c>
      <c r="G459" t="s">
        <v>47</v>
      </c>
      <c r="H459" t="s">
        <v>32</v>
      </c>
      <c r="I459">
        <v>8</v>
      </c>
      <c r="J459">
        <v>95000</v>
      </c>
      <c r="K459">
        <v>57000</v>
      </c>
      <c r="L459">
        <v>2.3E-2</v>
      </c>
      <c r="M459">
        <v>1</v>
      </c>
      <c r="N459">
        <v>32</v>
      </c>
      <c r="O459">
        <v>92815</v>
      </c>
      <c r="P459">
        <v>742520</v>
      </c>
      <c r="Q459">
        <v>456000</v>
      </c>
      <c r="R459">
        <v>286520</v>
      </c>
      <c r="S459">
        <v>38.6</v>
      </c>
      <c r="T459">
        <v>0.06</v>
      </c>
      <c r="U459">
        <v>44551.199999999997</v>
      </c>
    </row>
    <row r="460" spans="1:21" x14ac:dyDescent="0.2">
      <c r="A460" t="s">
        <v>521</v>
      </c>
      <c r="B460" t="s">
        <v>22</v>
      </c>
      <c r="C460" t="s">
        <v>35</v>
      </c>
      <c r="D460" t="s">
        <v>31</v>
      </c>
      <c r="E460" t="s">
        <v>25</v>
      </c>
      <c r="F460" t="s">
        <v>46</v>
      </c>
      <c r="G460" t="s">
        <v>47</v>
      </c>
      <c r="H460" t="s">
        <v>52</v>
      </c>
      <c r="I460">
        <v>10</v>
      </c>
      <c r="J460">
        <v>95000</v>
      </c>
      <c r="K460">
        <v>57000</v>
      </c>
      <c r="L460">
        <v>4.1000000000000002E-2</v>
      </c>
      <c r="M460">
        <v>0</v>
      </c>
      <c r="N460">
        <v>28</v>
      </c>
      <c r="O460">
        <v>91105</v>
      </c>
      <c r="P460">
        <v>911050</v>
      </c>
      <c r="Q460">
        <v>570000</v>
      </c>
      <c r="R460">
        <v>341050</v>
      </c>
      <c r="S460">
        <v>37.4</v>
      </c>
      <c r="T460">
        <v>0.06</v>
      </c>
      <c r="U460">
        <v>54663</v>
      </c>
    </row>
    <row r="461" spans="1:21" x14ac:dyDescent="0.2">
      <c r="A461" t="s">
        <v>522</v>
      </c>
      <c r="B461" t="s">
        <v>22</v>
      </c>
      <c r="C461" t="s">
        <v>81</v>
      </c>
      <c r="D461" t="s">
        <v>67</v>
      </c>
      <c r="E461" t="s">
        <v>41</v>
      </c>
      <c r="F461" t="s">
        <v>51</v>
      </c>
      <c r="G461" t="s">
        <v>37</v>
      </c>
      <c r="H461" t="s">
        <v>75</v>
      </c>
      <c r="I461">
        <v>12</v>
      </c>
      <c r="J461">
        <v>32000</v>
      </c>
      <c r="K461">
        <v>19200</v>
      </c>
      <c r="L461">
        <v>0.14099999999999999</v>
      </c>
      <c r="M461">
        <v>1</v>
      </c>
      <c r="N461">
        <v>3</v>
      </c>
      <c r="O461">
        <v>27488</v>
      </c>
      <c r="P461">
        <v>329856</v>
      </c>
      <c r="Q461">
        <v>230400</v>
      </c>
      <c r="R461">
        <v>99456</v>
      </c>
      <c r="S461">
        <v>30.2</v>
      </c>
      <c r="T461">
        <v>2.5000000000000001E-2</v>
      </c>
      <c r="U461">
        <v>8246.4</v>
      </c>
    </row>
    <row r="462" spans="1:21" x14ac:dyDescent="0.2">
      <c r="A462" t="s">
        <v>523</v>
      </c>
      <c r="B462" t="s">
        <v>34</v>
      </c>
      <c r="C462" t="s">
        <v>50</v>
      </c>
      <c r="D462" t="s">
        <v>45</v>
      </c>
      <c r="E462" t="s">
        <v>25</v>
      </c>
      <c r="F462" t="s">
        <v>51</v>
      </c>
      <c r="G462" t="s">
        <v>37</v>
      </c>
      <c r="H462" t="s">
        <v>48</v>
      </c>
      <c r="I462">
        <v>7</v>
      </c>
      <c r="J462">
        <v>32000</v>
      </c>
      <c r="K462">
        <v>19200</v>
      </c>
      <c r="L462">
        <v>2.5999999999999999E-2</v>
      </c>
      <c r="M462">
        <v>1</v>
      </c>
      <c r="N462">
        <v>14</v>
      </c>
      <c r="O462">
        <v>31168</v>
      </c>
      <c r="P462">
        <v>218176</v>
      </c>
      <c r="Q462">
        <v>134400</v>
      </c>
      <c r="R462">
        <v>83776</v>
      </c>
      <c r="S462">
        <v>38.4</v>
      </c>
      <c r="T462">
        <v>0.06</v>
      </c>
      <c r="U462">
        <v>13090.56</v>
      </c>
    </row>
    <row r="463" spans="1:21" x14ac:dyDescent="0.2">
      <c r="A463" t="s">
        <v>524</v>
      </c>
      <c r="B463" t="s">
        <v>34</v>
      </c>
      <c r="C463" t="s">
        <v>50</v>
      </c>
      <c r="D463" t="s">
        <v>67</v>
      </c>
      <c r="E463" t="s">
        <v>41</v>
      </c>
      <c r="F463" t="s">
        <v>51</v>
      </c>
      <c r="G463" t="s">
        <v>37</v>
      </c>
      <c r="H463" t="s">
        <v>59</v>
      </c>
      <c r="I463">
        <v>7</v>
      </c>
      <c r="J463">
        <v>32000</v>
      </c>
      <c r="K463">
        <v>19200</v>
      </c>
      <c r="L463">
        <v>0.104</v>
      </c>
      <c r="M463">
        <v>1</v>
      </c>
      <c r="N463">
        <v>30</v>
      </c>
      <c r="O463">
        <v>28672</v>
      </c>
      <c r="P463">
        <v>200704</v>
      </c>
      <c r="Q463">
        <v>134400</v>
      </c>
      <c r="R463">
        <v>66304</v>
      </c>
      <c r="S463">
        <v>33</v>
      </c>
      <c r="T463">
        <v>2.5000000000000001E-2</v>
      </c>
      <c r="U463">
        <v>5017.6000000000004</v>
      </c>
    </row>
    <row r="464" spans="1:21" x14ac:dyDescent="0.2">
      <c r="A464" t="s">
        <v>525</v>
      </c>
      <c r="B464" t="s">
        <v>22</v>
      </c>
      <c r="C464" t="s">
        <v>35</v>
      </c>
      <c r="D464" t="s">
        <v>67</v>
      </c>
      <c r="E464" t="s">
        <v>41</v>
      </c>
      <c r="F464" t="s">
        <v>51</v>
      </c>
      <c r="G464" t="s">
        <v>37</v>
      </c>
      <c r="H464" t="s">
        <v>48</v>
      </c>
      <c r="I464">
        <v>6</v>
      </c>
      <c r="J464">
        <v>32000</v>
      </c>
      <c r="K464">
        <v>19200</v>
      </c>
      <c r="L464">
        <v>0.14799999999999999</v>
      </c>
      <c r="M464">
        <v>1</v>
      </c>
      <c r="N464">
        <v>32</v>
      </c>
      <c r="O464">
        <v>27264</v>
      </c>
      <c r="P464">
        <v>163584</v>
      </c>
      <c r="Q464">
        <v>115200</v>
      </c>
      <c r="R464">
        <v>48384</v>
      </c>
      <c r="S464">
        <v>29.6</v>
      </c>
      <c r="T464">
        <v>2.5000000000000001E-2</v>
      </c>
      <c r="U464">
        <v>4089.6</v>
      </c>
    </row>
    <row r="465" spans="1:21" x14ac:dyDescent="0.2">
      <c r="A465" t="s">
        <v>526</v>
      </c>
      <c r="B465" t="s">
        <v>30</v>
      </c>
      <c r="C465" t="s">
        <v>35</v>
      </c>
      <c r="D465" t="s">
        <v>24</v>
      </c>
      <c r="E465" t="s">
        <v>25</v>
      </c>
      <c r="F465" t="s">
        <v>62</v>
      </c>
      <c r="G465" t="s">
        <v>57</v>
      </c>
      <c r="H465" t="s">
        <v>38</v>
      </c>
      <c r="I465">
        <v>7</v>
      </c>
      <c r="J465">
        <v>45000</v>
      </c>
      <c r="K465">
        <v>27000</v>
      </c>
      <c r="L465">
        <v>4.7E-2</v>
      </c>
      <c r="M465">
        <v>0</v>
      </c>
      <c r="N465">
        <v>12</v>
      </c>
      <c r="O465">
        <v>42885</v>
      </c>
      <c r="P465">
        <v>300195</v>
      </c>
      <c r="Q465">
        <v>189000</v>
      </c>
      <c r="R465">
        <v>111195</v>
      </c>
      <c r="S465">
        <v>37</v>
      </c>
      <c r="T465">
        <v>0.06</v>
      </c>
      <c r="U465">
        <v>18011.7</v>
      </c>
    </row>
    <row r="466" spans="1:21" x14ac:dyDescent="0.2">
      <c r="A466" t="s">
        <v>527</v>
      </c>
      <c r="B466" t="s">
        <v>22</v>
      </c>
      <c r="C466" t="s">
        <v>50</v>
      </c>
      <c r="D466" t="s">
        <v>83</v>
      </c>
      <c r="E466" t="s">
        <v>25</v>
      </c>
      <c r="F466" t="s">
        <v>62</v>
      </c>
      <c r="G466" t="s">
        <v>57</v>
      </c>
      <c r="H466" t="s">
        <v>59</v>
      </c>
      <c r="I466">
        <v>6</v>
      </c>
      <c r="J466">
        <v>45000</v>
      </c>
      <c r="K466">
        <v>27000</v>
      </c>
      <c r="L466">
        <v>2E-3</v>
      </c>
      <c r="M466">
        <v>1</v>
      </c>
      <c r="N466">
        <v>9</v>
      </c>
      <c r="O466">
        <v>44910</v>
      </c>
      <c r="P466">
        <v>269460</v>
      </c>
      <c r="Q466">
        <v>162000</v>
      </c>
      <c r="R466">
        <v>107460</v>
      </c>
      <c r="S466">
        <v>39.9</v>
      </c>
      <c r="T466">
        <v>0.06</v>
      </c>
      <c r="U466">
        <v>16167.6</v>
      </c>
    </row>
    <row r="467" spans="1:21" x14ac:dyDescent="0.2">
      <c r="A467" t="s">
        <v>528</v>
      </c>
      <c r="B467" t="s">
        <v>22</v>
      </c>
      <c r="C467" t="s">
        <v>44</v>
      </c>
      <c r="D467" t="s">
        <v>67</v>
      </c>
      <c r="E467" t="s">
        <v>41</v>
      </c>
      <c r="F467" t="s">
        <v>56</v>
      </c>
      <c r="G467" t="s">
        <v>57</v>
      </c>
      <c r="H467" t="s">
        <v>28</v>
      </c>
      <c r="I467">
        <v>6</v>
      </c>
      <c r="J467">
        <v>180000</v>
      </c>
      <c r="K467">
        <v>108000</v>
      </c>
      <c r="L467">
        <v>0.13100000000000001</v>
      </c>
      <c r="M467">
        <v>1</v>
      </c>
      <c r="N467">
        <v>31</v>
      </c>
      <c r="O467">
        <v>156420</v>
      </c>
      <c r="P467">
        <v>938520</v>
      </c>
      <c r="Q467">
        <v>648000</v>
      </c>
      <c r="R467">
        <v>290520</v>
      </c>
      <c r="S467">
        <v>31</v>
      </c>
      <c r="T467">
        <v>2.5000000000000001E-2</v>
      </c>
      <c r="U467">
        <v>23463</v>
      </c>
    </row>
    <row r="468" spans="1:21" x14ac:dyDescent="0.2">
      <c r="A468" t="s">
        <v>529</v>
      </c>
      <c r="B468" t="s">
        <v>30</v>
      </c>
      <c r="C468" t="s">
        <v>44</v>
      </c>
      <c r="D468" t="s">
        <v>45</v>
      </c>
      <c r="E468" t="s">
        <v>25</v>
      </c>
      <c r="F468" t="s">
        <v>86</v>
      </c>
      <c r="G468" t="s">
        <v>87</v>
      </c>
      <c r="H468" t="s">
        <v>75</v>
      </c>
      <c r="I468">
        <v>4</v>
      </c>
      <c r="J468">
        <v>28000</v>
      </c>
      <c r="K468">
        <v>16800</v>
      </c>
      <c r="L468">
        <v>3.6999999999999998E-2</v>
      </c>
      <c r="M468">
        <v>1</v>
      </c>
      <c r="N468">
        <v>27</v>
      </c>
      <c r="O468">
        <v>26964</v>
      </c>
      <c r="P468">
        <v>107856</v>
      </c>
      <c r="Q468">
        <v>67200</v>
      </c>
      <c r="R468">
        <v>40656</v>
      </c>
      <c r="S468">
        <v>37.700000000000003</v>
      </c>
      <c r="T468">
        <v>0.06</v>
      </c>
      <c r="U468">
        <v>6471.36</v>
      </c>
    </row>
    <row r="469" spans="1:21" x14ac:dyDescent="0.2">
      <c r="A469" t="s">
        <v>530</v>
      </c>
      <c r="B469" t="s">
        <v>22</v>
      </c>
      <c r="C469" t="s">
        <v>35</v>
      </c>
      <c r="D469" t="s">
        <v>31</v>
      </c>
      <c r="E469" t="s">
        <v>25</v>
      </c>
      <c r="F469" t="s">
        <v>56</v>
      </c>
      <c r="G469" t="s">
        <v>57</v>
      </c>
      <c r="H469" t="s">
        <v>64</v>
      </c>
      <c r="I469">
        <v>10</v>
      </c>
      <c r="J469">
        <v>180000</v>
      </c>
      <c r="K469">
        <v>108000</v>
      </c>
      <c r="L469">
        <v>4.8000000000000001E-2</v>
      </c>
      <c r="M469">
        <v>1</v>
      </c>
      <c r="N469">
        <v>16</v>
      </c>
      <c r="O469">
        <v>171360</v>
      </c>
      <c r="P469">
        <v>1713600</v>
      </c>
      <c r="Q469">
        <v>1080000</v>
      </c>
      <c r="R469">
        <v>633600</v>
      </c>
      <c r="S469">
        <v>37</v>
      </c>
      <c r="T469">
        <v>0.06</v>
      </c>
      <c r="U469">
        <v>102816</v>
      </c>
    </row>
    <row r="470" spans="1:21" x14ac:dyDescent="0.2">
      <c r="A470" t="s">
        <v>531</v>
      </c>
      <c r="B470" t="s">
        <v>34</v>
      </c>
      <c r="C470" t="s">
        <v>81</v>
      </c>
      <c r="D470" t="s">
        <v>67</v>
      </c>
      <c r="E470" t="s">
        <v>41</v>
      </c>
      <c r="F470" t="s">
        <v>51</v>
      </c>
      <c r="G470" t="s">
        <v>37</v>
      </c>
      <c r="H470" t="s">
        <v>59</v>
      </c>
      <c r="I470">
        <v>11</v>
      </c>
      <c r="J470">
        <v>32000</v>
      </c>
      <c r="K470">
        <v>19200</v>
      </c>
      <c r="L470">
        <v>3.6999999999999998E-2</v>
      </c>
      <c r="M470">
        <v>0</v>
      </c>
      <c r="N470">
        <v>23</v>
      </c>
      <c r="O470">
        <v>30816</v>
      </c>
      <c r="P470">
        <v>338976</v>
      </c>
      <c r="Q470">
        <v>211200</v>
      </c>
      <c r="R470">
        <v>127776</v>
      </c>
      <c r="S470">
        <v>37.700000000000003</v>
      </c>
      <c r="T470">
        <v>2.5000000000000001E-2</v>
      </c>
      <c r="U470">
        <v>8474.4</v>
      </c>
    </row>
    <row r="471" spans="1:21" x14ac:dyDescent="0.2">
      <c r="A471" t="s">
        <v>532</v>
      </c>
      <c r="B471" t="s">
        <v>22</v>
      </c>
      <c r="C471" t="s">
        <v>44</v>
      </c>
      <c r="D471" t="s">
        <v>31</v>
      </c>
      <c r="E471" t="s">
        <v>25</v>
      </c>
      <c r="F471" t="s">
        <v>62</v>
      </c>
      <c r="G471" t="s">
        <v>57</v>
      </c>
      <c r="H471" t="s">
        <v>48</v>
      </c>
      <c r="I471">
        <v>6</v>
      </c>
      <c r="J471">
        <v>45000</v>
      </c>
      <c r="K471">
        <v>27000</v>
      </c>
      <c r="L471">
        <v>6.3E-2</v>
      </c>
      <c r="M471">
        <v>0</v>
      </c>
      <c r="N471">
        <v>42</v>
      </c>
      <c r="O471">
        <v>42165</v>
      </c>
      <c r="P471">
        <v>252990</v>
      </c>
      <c r="Q471">
        <v>162000</v>
      </c>
      <c r="R471">
        <v>90990</v>
      </c>
      <c r="S471">
        <v>36</v>
      </c>
      <c r="T471">
        <v>0.06</v>
      </c>
      <c r="U471">
        <v>15179.4</v>
      </c>
    </row>
    <row r="472" spans="1:21" x14ac:dyDescent="0.2">
      <c r="A472" t="s">
        <v>533</v>
      </c>
      <c r="B472" t="s">
        <v>30</v>
      </c>
      <c r="C472" t="s">
        <v>35</v>
      </c>
      <c r="D472" t="s">
        <v>45</v>
      </c>
      <c r="E472" t="s">
        <v>25</v>
      </c>
      <c r="F472" t="s">
        <v>62</v>
      </c>
      <c r="G472" t="s">
        <v>57</v>
      </c>
      <c r="H472" t="s">
        <v>28</v>
      </c>
      <c r="I472">
        <v>6</v>
      </c>
      <c r="J472">
        <v>45000</v>
      </c>
      <c r="K472">
        <v>27000</v>
      </c>
      <c r="L472">
        <v>1.2999999999999999E-2</v>
      </c>
      <c r="M472">
        <v>1</v>
      </c>
      <c r="N472">
        <v>20</v>
      </c>
      <c r="O472">
        <v>44415</v>
      </c>
      <c r="P472">
        <v>266490</v>
      </c>
      <c r="Q472">
        <v>162000</v>
      </c>
      <c r="R472">
        <v>104490</v>
      </c>
      <c r="S472">
        <v>39.200000000000003</v>
      </c>
      <c r="T472">
        <v>0.06</v>
      </c>
      <c r="U472">
        <v>15989.4</v>
      </c>
    </row>
    <row r="473" spans="1:21" x14ac:dyDescent="0.2">
      <c r="A473" t="s">
        <v>534</v>
      </c>
      <c r="B473" t="s">
        <v>30</v>
      </c>
      <c r="C473" t="s">
        <v>35</v>
      </c>
      <c r="D473" t="s">
        <v>55</v>
      </c>
      <c r="E473" t="s">
        <v>41</v>
      </c>
      <c r="F473" t="s">
        <v>62</v>
      </c>
      <c r="G473" t="s">
        <v>57</v>
      </c>
      <c r="H473" t="s">
        <v>42</v>
      </c>
      <c r="I473">
        <v>2</v>
      </c>
      <c r="J473">
        <v>45000</v>
      </c>
      <c r="K473">
        <v>27000</v>
      </c>
      <c r="L473">
        <v>4.2000000000000003E-2</v>
      </c>
      <c r="M473">
        <v>0</v>
      </c>
      <c r="N473">
        <v>9</v>
      </c>
      <c r="O473">
        <v>43110</v>
      </c>
      <c r="P473">
        <v>86220</v>
      </c>
      <c r="Q473">
        <v>54000</v>
      </c>
      <c r="R473">
        <v>32220</v>
      </c>
      <c r="S473">
        <v>37.4</v>
      </c>
      <c r="T473">
        <v>2.5000000000000001E-2</v>
      </c>
      <c r="U473">
        <v>2155.5</v>
      </c>
    </row>
    <row r="474" spans="1:21" x14ac:dyDescent="0.2">
      <c r="A474" t="s">
        <v>535</v>
      </c>
      <c r="B474" t="s">
        <v>22</v>
      </c>
      <c r="C474" t="s">
        <v>35</v>
      </c>
      <c r="D474" t="s">
        <v>40</v>
      </c>
      <c r="E474" t="s">
        <v>41</v>
      </c>
      <c r="F474" t="s">
        <v>62</v>
      </c>
      <c r="G474" t="s">
        <v>57</v>
      </c>
      <c r="H474" t="s">
        <v>64</v>
      </c>
      <c r="I474">
        <v>13</v>
      </c>
      <c r="J474">
        <v>45000</v>
      </c>
      <c r="K474">
        <v>27000</v>
      </c>
      <c r="L474">
        <v>0.13600000000000001</v>
      </c>
      <c r="M474">
        <v>1</v>
      </c>
      <c r="N474">
        <v>26</v>
      </c>
      <c r="O474">
        <v>38880</v>
      </c>
      <c r="P474">
        <v>505440</v>
      </c>
      <c r="Q474">
        <v>351000</v>
      </c>
      <c r="R474">
        <v>154440</v>
      </c>
      <c r="S474">
        <v>30.6</v>
      </c>
      <c r="T474">
        <v>2.5000000000000001E-2</v>
      </c>
      <c r="U474">
        <v>12636</v>
      </c>
    </row>
    <row r="475" spans="1:21" x14ac:dyDescent="0.2">
      <c r="A475" t="s">
        <v>536</v>
      </c>
      <c r="B475" t="s">
        <v>54</v>
      </c>
      <c r="C475" t="s">
        <v>50</v>
      </c>
      <c r="D475" t="s">
        <v>31</v>
      </c>
      <c r="E475" t="s">
        <v>25</v>
      </c>
      <c r="F475" t="s">
        <v>86</v>
      </c>
      <c r="G475" t="s">
        <v>87</v>
      </c>
      <c r="H475" t="s">
        <v>32</v>
      </c>
      <c r="I475">
        <v>2</v>
      </c>
      <c r="J475">
        <v>28000</v>
      </c>
      <c r="K475">
        <v>16800</v>
      </c>
      <c r="L475">
        <v>5.7000000000000002E-2</v>
      </c>
      <c r="M475">
        <v>1</v>
      </c>
      <c r="N475">
        <v>31</v>
      </c>
      <c r="O475">
        <v>26404</v>
      </c>
      <c r="P475">
        <v>52808</v>
      </c>
      <c r="Q475">
        <v>33600</v>
      </c>
      <c r="R475">
        <v>19208</v>
      </c>
      <c r="S475">
        <v>36.4</v>
      </c>
      <c r="T475">
        <v>0.06</v>
      </c>
      <c r="U475">
        <v>3168.48</v>
      </c>
    </row>
    <row r="476" spans="1:21" x14ac:dyDescent="0.2">
      <c r="A476" t="s">
        <v>537</v>
      </c>
      <c r="B476" t="s">
        <v>22</v>
      </c>
      <c r="C476" t="s">
        <v>44</v>
      </c>
      <c r="D476" t="s">
        <v>67</v>
      </c>
      <c r="E476" t="s">
        <v>41</v>
      </c>
      <c r="F476" t="s">
        <v>73</v>
      </c>
      <c r="G476" t="s">
        <v>74</v>
      </c>
      <c r="H476" t="s">
        <v>38</v>
      </c>
      <c r="I476">
        <v>12</v>
      </c>
      <c r="J476">
        <v>22000</v>
      </c>
      <c r="K476">
        <v>13200</v>
      </c>
      <c r="L476">
        <v>6.9000000000000006E-2</v>
      </c>
      <c r="M476">
        <v>1</v>
      </c>
      <c r="N476">
        <v>37</v>
      </c>
      <c r="O476">
        <v>20482</v>
      </c>
      <c r="P476">
        <v>245784</v>
      </c>
      <c r="Q476">
        <v>158400</v>
      </c>
      <c r="R476">
        <v>87384</v>
      </c>
      <c r="S476">
        <v>35.6</v>
      </c>
      <c r="T476">
        <v>2.5000000000000001E-2</v>
      </c>
      <c r="U476">
        <v>6144.6</v>
      </c>
    </row>
    <row r="477" spans="1:21" x14ac:dyDescent="0.2">
      <c r="A477" t="s">
        <v>538</v>
      </c>
      <c r="B477" t="s">
        <v>34</v>
      </c>
      <c r="C477" t="s">
        <v>35</v>
      </c>
      <c r="D477" t="s">
        <v>67</v>
      </c>
      <c r="E477" t="s">
        <v>41</v>
      </c>
      <c r="F477" t="s">
        <v>51</v>
      </c>
      <c r="G477" t="s">
        <v>37</v>
      </c>
      <c r="H477" t="s">
        <v>70</v>
      </c>
      <c r="I477">
        <v>9</v>
      </c>
      <c r="J477">
        <v>32000</v>
      </c>
      <c r="K477">
        <v>19200</v>
      </c>
      <c r="L477">
        <v>0.191</v>
      </c>
      <c r="M477">
        <v>1</v>
      </c>
      <c r="N477">
        <v>10</v>
      </c>
      <c r="O477">
        <v>25888</v>
      </c>
      <c r="P477">
        <v>232992</v>
      </c>
      <c r="Q477">
        <v>172800</v>
      </c>
      <c r="R477">
        <v>60192</v>
      </c>
      <c r="S477">
        <v>25.8</v>
      </c>
      <c r="T477">
        <v>2.5000000000000001E-2</v>
      </c>
      <c r="U477">
        <v>5824.8</v>
      </c>
    </row>
    <row r="478" spans="1:21" x14ac:dyDescent="0.2">
      <c r="A478" t="s">
        <v>539</v>
      </c>
      <c r="B478" t="s">
        <v>34</v>
      </c>
      <c r="C478" t="s">
        <v>50</v>
      </c>
      <c r="D478" t="s">
        <v>67</v>
      </c>
      <c r="E478" t="s">
        <v>41</v>
      </c>
      <c r="F478" t="s">
        <v>62</v>
      </c>
      <c r="G478" t="s">
        <v>57</v>
      </c>
      <c r="H478" t="s">
        <v>52</v>
      </c>
      <c r="I478">
        <v>5</v>
      </c>
      <c r="J478">
        <v>45000</v>
      </c>
      <c r="K478">
        <v>27000</v>
      </c>
      <c r="L478">
        <v>8.7999999999999995E-2</v>
      </c>
      <c r="M478">
        <v>0</v>
      </c>
      <c r="N478">
        <v>14</v>
      </c>
      <c r="O478">
        <v>41040</v>
      </c>
      <c r="P478">
        <v>205200</v>
      </c>
      <c r="Q478">
        <v>135000</v>
      </c>
      <c r="R478">
        <v>70200</v>
      </c>
      <c r="S478">
        <v>34.200000000000003</v>
      </c>
      <c r="T478">
        <v>2.5000000000000001E-2</v>
      </c>
      <c r="U478">
        <v>5130</v>
      </c>
    </row>
    <row r="479" spans="1:21" x14ac:dyDescent="0.2">
      <c r="A479" t="s">
        <v>540</v>
      </c>
      <c r="B479" t="s">
        <v>22</v>
      </c>
      <c r="C479" t="s">
        <v>44</v>
      </c>
      <c r="D479" t="s">
        <v>24</v>
      </c>
      <c r="E479" t="s">
        <v>25</v>
      </c>
      <c r="F479" t="s">
        <v>86</v>
      </c>
      <c r="G479" t="s">
        <v>87</v>
      </c>
      <c r="H479" t="s">
        <v>59</v>
      </c>
      <c r="I479">
        <v>7</v>
      </c>
      <c r="J479">
        <v>28000</v>
      </c>
      <c r="K479">
        <v>16800</v>
      </c>
      <c r="L479">
        <v>1.2999999999999999E-2</v>
      </c>
      <c r="M479">
        <v>0</v>
      </c>
      <c r="N479">
        <v>38</v>
      </c>
      <c r="O479">
        <v>27636</v>
      </c>
      <c r="P479">
        <v>193452</v>
      </c>
      <c r="Q479">
        <v>117600</v>
      </c>
      <c r="R479">
        <v>75852</v>
      </c>
      <c r="S479">
        <v>39.200000000000003</v>
      </c>
      <c r="T479">
        <v>0.06</v>
      </c>
      <c r="U479">
        <v>11607.12</v>
      </c>
    </row>
    <row r="480" spans="1:21" x14ac:dyDescent="0.2">
      <c r="A480" t="s">
        <v>541</v>
      </c>
      <c r="B480" t="s">
        <v>30</v>
      </c>
      <c r="C480" t="s">
        <v>35</v>
      </c>
      <c r="D480" t="s">
        <v>67</v>
      </c>
      <c r="E480" t="s">
        <v>41</v>
      </c>
      <c r="F480" t="s">
        <v>86</v>
      </c>
      <c r="G480" t="s">
        <v>87</v>
      </c>
      <c r="H480" t="s">
        <v>52</v>
      </c>
      <c r="I480">
        <v>7</v>
      </c>
      <c r="J480">
        <v>28000</v>
      </c>
      <c r="K480">
        <v>16800</v>
      </c>
      <c r="L480">
        <v>0.10299999999999999</v>
      </c>
      <c r="M480">
        <v>1</v>
      </c>
      <c r="N480">
        <v>7</v>
      </c>
      <c r="O480">
        <v>25116</v>
      </c>
      <c r="P480">
        <v>175812</v>
      </c>
      <c r="Q480">
        <v>117600</v>
      </c>
      <c r="R480">
        <v>58212</v>
      </c>
      <c r="S480">
        <v>33.1</v>
      </c>
      <c r="T480">
        <v>2.5000000000000001E-2</v>
      </c>
      <c r="U480">
        <v>4395.3</v>
      </c>
    </row>
    <row r="481" spans="1:21" x14ac:dyDescent="0.2">
      <c r="A481" t="s">
        <v>542</v>
      </c>
      <c r="B481" t="s">
        <v>34</v>
      </c>
      <c r="C481" t="s">
        <v>81</v>
      </c>
      <c r="D481" t="s">
        <v>67</v>
      </c>
      <c r="E481" t="s">
        <v>41</v>
      </c>
      <c r="F481" t="s">
        <v>46</v>
      </c>
      <c r="G481" t="s">
        <v>47</v>
      </c>
      <c r="H481" t="s">
        <v>42</v>
      </c>
      <c r="I481">
        <v>6</v>
      </c>
      <c r="J481">
        <v>95000</v>
      </c>
      <c r="K481">
        <v>57000</v>
      </c>
      <c r="L481">
        <v>3.5999999999999997E-2</v>
      </c>
      <c r="M481">
        <v>1</v>
      </c>
      <c r="N481">
        <v>24</v>
      </c>
      <c r="O481">
        <v>91580</v>
      </c>
      <c r="P481">
        <v>549480</v>
      </c>
      <c r="Q481">
        <v>342000</v>
      </c>
      <c r="R481">
        <v>207480</v>
      </c>
      <c r="S481">
        <v>37.799999999999997</v>
      </c>
      <c r="T481">
        <v>2.5000000000000001E-2</v>
      </c>
      <c r="U481">
        <v>13737</v>
      </c>
    </row>
    <row r="482" spans="1:21" x14ac:dyDescent="0.2">
      <c r="A482" t="s">
        <v>543</v>
      </c>
      <c r="B482" t="s">
        <v>30</v>
      </c>
      <c r="C482" t="s">
        <v>35</v>
      </c>
      <c r="D482" t="s">
        <v>55</v>
      </c>
      <c r="E482" t="s">
        <v>41</v>
      </c>
      <c r="F482" t="s">
        <v>62</v>
      </c>
      <c r="G482" t="s">
        <v>57</v>
      </c>
      <c r="H482" t="s">
        <v>75</v>
      </c>
      <c r="I482">
        <v>7</v>
      </c>
      <c r="J482">
        <v>45000</v>
      </c>
      <c r="K482">
        <v>27000</v>
      </c>
      <c r="L482">
        <v>0.11</v>
      </c>
      <c r="M482">
        <v>1</v>
      </c>
      <c r="N482">
        <v>8</v>
      </c>
      <c r="O482">
        <v>40050</v>
      </c>
      <c r="P482">
        <v>280350</v>
      </c>
      <c r="Q482">
        <v>189000</v>
      </c>
      <c r="R482">
        <v>91350</v>
      </c>
      <c r="S482">
        <v>32.6</v>
      </c>
      <c r="T482">
        <v>2.5000000000000001E-2</v>
      </c>
      <c r="U482">
        <v>7008.75</v>
      </c>
    </row>
    <row r="483" spans="1:21" x14ac:dyDescent="0.2">
      <c r="A483" t="s">
        <v>544</v>
      </c>
      <c r="B483" t="s">
        <v>22</v>
      </c>
      <c r="C483" t="s">
        <v>44</v>
      </c>
      <c r="D483" t="s">
        <v>67</v>
      </c>
      <c r="E483" t="s">
        <v>41</v>
      </c>
      <c r="F483" t="s">
        <v>62</v>
      </c>
      <c r="G483" t="s">
        <v>57</v>
      </c>
      <c r="H483" t="s">
        <v>52</v>
      </c>
      <c r="I483">
        <v>11</v>
      </c>
      <c r="J483">
        <v>45000</v>
      </c>
      <c r="K483">
        <v>27000</v>
      </c>
      <c r="L483">
        <v>3.5000000000000003E-2</v>
      </c>
      <c r="M483">
        <v>1</v>
      </c>
      <c r="N483">
        <v>38</v>
      </c>
      <c r="O483">
        <v>43425</v>
      </c>
      <c r="P483">
        <v>477675</v>
      </c>
      <c r="Q483">
        <v>297000</v>
      </c>
      <c r="R483">
        <v>180675</v>
      </c>
      <c r="S483">
        <v>37.799999999999997</v>
      </c>
      <c r="T483">
        <v>2.5000000000000001E-2</v>
      </c>
      <c r="U483">
        <v>11941.88</v>
      </c>
    </row>
    <row r="484" spans="1:21" x14ac:dyDescent="0.2">
      <c r="A484" t="s">
        <v>545</v>
      </c>
      <c r="B484" t="s">
        <v>34</v>
      </c>
      <c r="C484" t="s">
        <v>50</v>
      </c>
      <c r="D484" t="s">
        <v>45</v>
      </c>
      <c r="E484" t="s">
        <v>25</v>
      </c>
      <c r="F484" t="s">
        <v>86</v>
      </c>
      <c r="G484" t="s">
        <v>87</v>
      </c>
      <c r="H484" t="s">
        <v>64</v>
      </c>
      <c r="I484">
        <v>10</v>
      </c>
      <c r="J484">
        <v>28000</v>
      </c>
      <c r="K484">
        <v>16800</v>
      </c>
      <c r="L484">
        <v>6.0999999999999999E-2</v>
      </c>
      <c r="M484">
        <v>1</v>
      </c>
      <c r="N484">
        <v>35</v>
      </c>
      <c r="O484">
        <v>26292</v>
      </c>
      <c r="P484">
        <v>262920</v>
      </c>
      <c r="Q484">
        <v>168000</v>
      </c>
      <c r="R484">
        <v>94920</v>
      </c>
      <c r="S484">
        <v>36.1</v>
      </c>
      <c r="T484">
        <v>0.06</v>
      </c>
      <c r="U484">
        <v>15775.2</v>
      </c>
    </row>
    <row r="485" spans="1:21" x14ac:dyDescent="0.2">
      <c r="A485" t="s">
        <v>546</v>
      </c>
      <c r="B485" t="s">
        <v>22</v>
      </c>
      <c r="C485" t="s">
        <v>50</v>
      </c>
      <c r="D485" t="s">
        <v>83</v>
      </c>
      <c r="E485" t="s">
        <v>25</v>
      </c>
      <c r="F485" t="s">
        <v>56</v>
      </c>
      <c r="G485" t="s">
        <v>57</v>
      </c>
      <c r="H485" t="s">
        <v>70</v>
      </c>
      <c r="I485">
        <v>1</v>
      </c>
      <c r="J485">
        <v>180000</v>
      </c>
      <c r="K485">
        <v>108000</v>
      </c>
      <c r="L485">
        <v>1.6E-2</v>
      </c>
      <c r="M485">
        <v>1</v>
      </c>
      <c r="N485">
        <v>18</v>
      </c>
      <c r="O485">
        <v>177120</v>
      </c>
      <c r="P485">
        <v>177120</v>
      </c>
      <c r="Q485">
        <v>108000</v>
      </c>
      <c r="R485">
        <v>69120</v>
      </c>
      <c r="S485">
        <v>39</v>
      </c>
      <c r="T485">
        <v>0.06</v>
      </c>
      <c r="U485">
        <v>10627.2</v>
      </c>
    </row>
    <row r="486" spans="1:21" x14ac:dyDescent="0.2">
      <c r="A486" t="s">
        <v>547</v>
      </c>
      <c r="B486" t="s">
        <v>54</v>
      </c>
      <c r="C486" t="s">
        <v>23</v>
      </c>
      <c r="D486" t="s">
        <v>67</v>
      </c>
      <c r="E486" t="s">
        <v>41</v>
      </c>
      <c r="F486" t="s">
        <v>26</v>
      </c>
      <c r="G486" t="s">
        <v>27</v>
      </c>
      <c r="H486" t="s">
        <v>75</v>
      </c>
      <c r="I486">
        <v>3</v>
      </c>
      <c r="J486">
        <v>35000</v>
      </c>
      <c r="K486">
        <v>21000</v>
      </c>
      <c r="L486">
        <v>0.159</v>
      </c>
      <c r="M486">
        <v>1</v>
      </c>
      <c r="N486">
        <v>5</v>
      </c>
      <c r="O486">
        <v>29435</v>
      </c>
      <c r="P486">
        <v>88305</v>
      </c>
      <c r="Q486">
        <v>63000</v>
      </c>
      <c r="R486">
        <v>25305</v>
      </c>
      <c r="S486">
        <v>28.7</v>
      </c>
      <c r="T486">
        <v>2.5000000000000001E-2</v>
      </c>
      <c r="U486">
        <v>2207.62</v>
      </c>
    </row>
    <row r="487" spans="1:21" x14ac:dyDescent="0.2">
      <c r="A487" t="s">
        <v>548</v>
      </c>
      <c r="B487" t="s">
        <v>34</v>
      </c>
      <c r="C487" t="s">
        <v>23</v>
      </c>
      <c r="D487" t="s">
        <v>83</v>
      </c>
      <c r="E487" t="s">
        <v>25</v>
      </c>
      <c r="F487" t="s">
        <v>62</v>
      </c>
      <c r="G487" t="s">
        <v>57</v>
      </c>
      <c r="H487" t="s">
        <v>52</v>
      </c>
      <c r="I487">
        <v>7</v>
      </c>
      <c r="J487">
        <v>45000</v>
      </c>
      <c r="K487">
        <v>27000</v>
      </c>
      <c r="L487">
        <v>7.6999999999999999E-2</v>
      </c>
      <c r="M487">
        <v>1</v>
      </c>
      <c r="N487">
        <v>19</v>
      </c>
      <c r="O487">
        <v>41535</v>
      </c>
      <c r="P487">
        <v>290745</v>
      </c>
      <c r="Q487">
        <v>189000</v>
      </c>
      <c r="R487">
        <v>101745</v>
      </c>
      <c r="S487">
        <v>35</v>
      </c>
      <c r="T487">
        <v>0.06</v>
      </c>
      <c r="U487">
        <v>17444.7</v>
      </c>
    </row>
    <row r="488" spans="1:21" x14ac:dyDescent="0.2">
      <c r="A488" t="s">
        <v>549</v>
      </c>
      <c r="B488" t="s">
        <v>30</v>
      </c>
      <c r="C488" t="s">
        <v>44</v>
      </c>
      <c r="D488" t="s">
        <v>55</v>
      </c>
      <c r="E488" t="s">
        <v>41</v>
      </c>
      <c r="F488" t="s">
        <v>73</v>
      </c>
      <c r="G488" t="s">
        <v>74</v>
      </c>
      <c r="H488" t="s">
        <v>64</v>
      </c>
      <c r="I488">
        <v>7</v>
      </c>
      <c r="J488">
        <v>22000</v>
      </c>
      <c r="K488">
        <v>13200</v>
      </c>
      <c r="L488">
        <v>3.6999999999999998E-2</v>
      </c>
      <c r="M488">
        <v>1</v>
      </c>
      <c r="N488">
        <v>32</v>
      </c>
      <c r="O488">
        <v>21186</v>
      </c>
      <c r="P488">
        <v>148302</v>
      </c>
      <c r="Q488">
        <v>92400</v>
      </c>
      <c r="R488">
        <v>55902</v>
      </c>
      <c r="S488">
        <v>37.700000000000003</v>
      </c>
      <c r="T488">
        <v>2.5000000000000001E-2</v>
      </c>
      <c r="U488">
        <v>3707.55</v>
      </c>
    </row>
    <row r="489" spans="1:21" x14ac:dyDescent="0.2">
      <c r="A489" t="s">
        <v>550</v>
      </c>
      <c r="B489" t="s">
        <v>22</v>
      </c>
      <c r="C489" t="s">
        <v>35</v>
      </c>
      <c r="D489" t="s">
        <v>55</v>
      </c>
      <c r="E489" t="s">
        <v>41</v>
      </c>
      <c r="F489" t="s">
        <v>56</v>
      </c>
      <c r="G489" t="s">
        <v>57</v>
      </c>
      <c r="H489" t="s">
        <v>64</v>
      </c>
      <c r="I489">
        <v>4</v>
      </c>
      <c r="J489">
        <v>180000</v>
      </c>
      <c r="K489">
        <v>108000</v>
      </c>
      <c r="L489">
        <v>3.5999999999999997E-2</v>
      </c>
      <c r="M489">
        <v>0</v>
      </c>
      <c r="N489">
        <v>36</v>
      </c>
      <c r="O489">
        <v>173520</v>
      </c>
      <c r="P489">
        <v>694080</v>
      </c>
      <c r="Q489">
        <v>432000</v>
      </c>
      <c r="R489">
        <v>262080</v>
      </c>
      <c r="S489">
        <v>37.799999999999997</v>
      </c>
      <c r="T489">
        <v>2.5000000000000001E-2</v>
      </c>
      <c r="U489">
        <v>17352</v>
      </c>
    </row>
    <row r="490" spans="1:21" x14ac:dyDescent="0.2">
      <c r="A490" t="s">
        <v>551</v>
      </c>
      <c r="B490" t="s">
        <v>34</v>
      </c>
      <c r="C490" t="s">
        <v>35</v>
      </c>
      <c r="D490" t="s">
        <v>31</v>
      </c>
      <c r="E490" t="s">
        <v>25</v>
      </c>
      <c r="F490" t="s">
        <v>62</v>
      </c>
      <c r="G490" t="s">
        <v>57</v>
      </c>
      <c r="H490" t="s">
        <v>48</v>
      </c>
      <c r="I490">
        <v>3</v>
      </c>
      <c r="J490">
        <v>45000</v>
      </c>
      <c r="K490">
        <v>27000</v>
      </c>
      <c r="L490">
        <v>0.03</v>
      </c>
      <c r="M490">
        <v>0</v>
      </c>
      <c r="N490">
        <v>10</v>
      </c>
      <c r="O490">
        <v>43650</v>
      </c>
      <c r="P490">
        <v>130950</v>
      </c>
      <c r="Q490">
        <v>81000</v>
      </c>
      <c r="R490">
        <v>49950</v>
      </c>
      <c r="S490">
        <v>38.1</v>
      </c>
      <c r="T490">
        <v>0.06</v>
      </c>
      <c r="U490">
        <v>7857</v>
      </c>
    </row>
    <row r="491" spans="1:21" x14ac:dyDescent="0.2">
      <c r="A491" t="s">
        <v>552</v>
      </c>
      <c r="B491" t="s">
        <v>30</v>
      </c>
      <c r="C491" t="s">
        <v>50</v>
      </c>
      <c r="D491" t="s">
        <v>83</v>
      </c>
      <c r="E491" t="s">
        <v>25</v>
      </c>
      <c r="F491" t="s">
        <v>73</v>
      </c>
      <c r="G491" t="s">
        <v>74</v>
      </c>
      <c r="H491" t="s">
        <v>59</v>
      </c>
      <c r="I491">
        <v>4</v>
      </c>
      <c r="J491">
        <v>22000</v>
      </c>
      <c r="K491">
        <v>13200</v>
      </c>
      <c r="L491">
        <v>9.1999999999999998E-2</v>
      </c>
      <c r="M491">
        <v>1</v>
      </c>
      <c r="N491">
        <v>32</v>
      </c>
      <c r="O491">
        <v>19976</v>
      </c>
      <c r="P491">
        <v>79904</v>
      </c>
      <c r="Q491">
        <v>52800</v>
      </c>
      <c r="R491">
        <v>27104</v>
      </c>
      <c r="S491">
        <v>33.9</v>
      </c>
      <c r="T491">
        <v>0.06</v>
      </c>
      <c r="U491">
        <v>4794.24</v>
      </c>
    </row>
    <row r="492" spans="1:21" x14ac:dyDescent="0.2">
      <c r="A492" t="s">
        <v>553</v>
      </c>
      <c r="B492" t="s">
        <v>22</v>
      </c>
      <c r="C492" t="s">
        <v>35</v>
      </c>
      <c r="D492" t="s">
        <v>67</v>
      </c>
      <c r="E492" t="s">
        <v>41</v>
      </c>
      <c r="F492" t="s">
        <v>62</v>
      </c>
      <c r="G492" t="s">
        <v>57</v>
      </c>
      <c r="H492" t="s">
        <v>64</v>
      </c>
      <c r="I492">
        <v>2</v>
      </c>
      <c r="J492">
        <v>45000</v>
      </c>
      <c r="K492">
        <v>27000</v>
      </c>
      <c r="L492">
        <v>0.04</v>
      </c>
      <c r="M492">
        <v>1</v>
      </c>
      <c r="N492">
        <v>6</v>
      </c>
      <c r="O492">
        <v>43200</v>
      </c>
      <c r="P492">
        <v>86400</v>
      </c>
      <c r="Q492">
        <v>54000</v>
      </c>
      <c r="R492">
        <v>32400</v>
      </c>
      <c r="S492">
        <v>37.5</v>
      </c>
      <c r="T492">
        <v>2.5000000000000001E-2</v>
      </c>
      <c r="U492">
        <v>2160</v>
      </c>
    </row>
    <row r="493" spans="1:21" x14ac:dyDescent="0.2">
      <c r="A493" t="s">
        <v>554</v>
      </c>
      <c r="B493" t="s">
        <v>30</v>
      </c>
      <c r="C493" t="s">
        <v>23</v>
      </c>
      <c r="D493" t="s">
        <v>40</v>
      </c>
      <c r="E493" t="s">
        <v>41</v>
      </c>
      <c r="F493" t="s">
        <v>56</v>
      </c>
      <c r="G493" t="s">
        <v>57</v>
      </c>
      <c r="H493" t="s">
        <v>52</v>
      </c>
      <c r="I493">
        <v>14</v>
      </c>
      <c r="J493">
        <v>180000</v>
      </c>
      <c r="K493">
        <v>108000</v>
      </c>
      <c r="L493">
        <v>0.12</v>
      </c>
      <c r="M493">
        <v>1</v>
      </c>
      <c r="N493">
        <v>32</v>
      </c>
      <c r="O493">
        <v>158400</v>
      </c>
      <c r="P493">
        <v>2217600</v>
      </c>
      <c r="Q493">
        <v>1512000</v>
      </c>
      <c r="R493">
        <v>705600</v>
      </c>
      <c r="S493">
        <v>31.8</v>
      </c>
      <c r="T493">
        <v>2.5000000000000001E-2</v>
      </c>
      <c r="U493">
        <v>55440</v>
      </c>
    </row>
    <row r="494" spans="1:21" x14ac:dyDescent="0.2">
      <c r="A494" t="s">
        <v>555</v>
      </c>
      <c r="B494" t="s">
        <v>22</v>
      </c>
      <c r="C494" t="s">
        <v>35</v>
      </c>
      <c r="D494" t="s">
        <v>55</v>
      </c>
      <c r="E494" t="s">
        <v>41</v>
      </c>
      <c r="F494" t="s">
        <v>36</v>
      </c>
      <c r="G494" t="s">
        <v>37</v>
      </c>
      <c r="H494" t="s">
        <v>42</v>
      </c>
      <c r="I494">
        <v>7</v>
      </c>
      <c r="J494">
        <v>8500</v>
      </c>
      <c r="K494">
        <v>5100</v>
      </c>
      <c r="L494">
        <v>4.3999999999999997E-2</v>
      </c>
      <c r="M494">
        <v>0</v>
      </c>
      <c r="N494">
        <v>40</v>
      </c>
      <c r="O494">
        <v>8126</v>
      </c>
      <c r="P494">
        <v>56882</v>
      </c>
      <c r="Q494">
        <v>35700</v>
      </c>
      <c r="R494">
        <v>21182</v>
      </c>
      <c r="S494">
        <v>37.200000000000003</v>
      </c>
      <c r="T494">
        <v>2.5000000000000001E-2</v>
      </c>
      <c r="U494">
        <v>1422.05</v>
      </c>
    </row>
    <row r="495" spans="1:21" x14ac:dyDescent="0.2">
      <c r="A495" t="s">
        <v>556</v>
      </c>
      <c r="B495" t="s">
        <v>22</v>
      </c>
      <c r="C495" t="s">
        <v>23</v>
      </c>
      <c r="D495" t="s">
        <v>31</v>
      </c>
      <c r="E495" t="s">
        <v>25</v>
      </c>
      <c r="F495" t="s">
        <v>73</v>
      </c>
      <c r="G495" t="s">
        <v>74</v>
      </c>
      <c r="H495" t="s">
        <v>38</v>
      </c>
      <c r="I495">
        <v>11</v>
      </c>
      <c r="J495">
        <v>22000</v>
      </c>
      <c r="K495">
        <v>13200</v>
      </c>
      <c r="L495">
        <v>3.5999999999999997E-2</v>
      </c>
      <c r="M495">
        <v>0</v>
      </c>
      <c r="N495">
        <v>25</v>
      </c>
      <c r="O495">
        <v>21208</v>
      </c>
      <c r="P495">
        <v>233288</v>
      </c>
      <c r="Q495">
        <v>145200</v>
      </c>
      <c r="R495">
        <v>88088</v>
      </c>
      <c r="S495">
        <v>37.799999999999997</v>
      </c>
      <c r="T495">
        <v>0.06</v>
      </c>
      <c r="U495">
        <v>13997.28</v>
      </c>
    </row>
    <row r="496" spans="1:21" x14ac:dyDescent="0.2">
      <c r="A496" t="s">
        <v>557</v>
      </c>
      <c r="B496" t="s">
        <v>34</v>
      </c>
      <c r="C496" t="s">
        <v>35</v>
      </c>
      <c r="D496" t="s">
        <v>67</v>
      </c>
      <c r="E496" t="s">
        <v>41</v>
      </c>
      <c r="F496" t="s">
        <v>51</v>
      </c>
      <c r="G496" t="s">
        <v>37</v>
      </c>
      <c r="H496" t="s">
        <v>28</v>
      </c>
      <c r="I496">
        <v>14</v>
      </c>
      <c r="J496">
        <v>32000</v>
      </c>
      <c r="K496">
        <v>19200</v>
      </c>
      <c r="L496">
        <v>1.9E-2</v>
      </c>
      <c r="M496">
        <v>1</v>
      </c>
      <c r="N496">
        <v>15</v>
      </c>
      <c r="O496">
        <v>31392</v>
      </c>
      <c r="P496">
        <v>439488</v>
      </c>
      <c r="Q496">
        <v>268800</v>
      </c>
      <c r="R496">
        <v>170688</v>
      </c>
      <c r="S496">
        <v>38.799999999999997</v>
      </c>
      <c r="T496">
        <v>2.5000000000000001E-2</v>
      </c>
      <c r="U496">
        <v>10987.2</v>
      </c>
    </row>
    <row r="497" spans="1:21" x14ac:dyDescent="0.2">
      <c r="A497" t="s">
        <v>558</v>
      </c>
      <c r="B497" t="s">
        <v>54</v>
      </c>
      <c r="C497" t="s">
        <v>81</v>
      </c>
      <c r="D497" t="s">
        <v>67</v>
      </c>
      <c r="E497" t="s">
        <v>41</v>
      </c>
      <c r="F497" t="s">
        <v>86</v>
      </c>
      <c r="G497" t="s">
        <v>87</v>
      </c>
      <c r="H497" t="s">
        <v>59</v>
      </c>
      <c r="I497">
        <v>1</v>
      </c>
      <c r="J497">
        <v>28000</v>
      </c>
      <c r="K497">
        <v>16800</v>
      </c>
      <c r="L497">
        <v>2.4E-2</v>
      </c>
      <c r="M497">
        <v>0</v>
      </c>
      <c r="N497">
        <v>26</v>
      </c>
      <c r="O497">
        <v>27328</v>
      </c>
      <c r="P497">
        <v>27328</v>
      </c>
      <c r="Q497">
        <v>16800</v>
      </c>
      <c r="R497">
        <v>10528</v>
      </c>
      <c r="S497">
        <v>38.5</v>
      </c>
      <c r="T497">
        <v>2.5000000000000001E-2</v>
      </c>
      <c r="U497">
        <v>683.2</v>
      </c>
    </row>
    <row r="498" spans="1:21" x14ac:dyDescent="0.2">
      <c r="A498" t="s">
        <v>559</v>
      </c>
      <c r="B498" t="s">
        <v>34</v>
      </c>
      <c r="C498" t="s">
        <v>35</v>
      </c>
      <c r="D498" t="s">
        <v>83</v>
      </c>
      <c r="E498" t="s">
        <v>25</v>
      </c>
      <c r="F498" t="s">
        <v>62</v>
      </c>
      <c r="G498" t="s">
        <v>57</v>
      </c>
      <c r="H498" t="s">
        <v>28</v>
      </c>
      <c r="I498">
        <v>6</v>
      </c>
      <c r="J498">
        <v>45000</v>
      </c>
      <c r="K498">
        <v>27000</v>
      </c>
      <c r="L498">
        <v>9.2999999999999999E-2</v>
      </c>
      <c r="M498">
        <v>1</v>
      </c>
      <c r="N498">
        <v>36</v>
      </c>
      <c r="O498">
        <v>40815</v>
      </c>
      <c r="P498">
        <v>244890</v>
      </c>
      <c r="Q498">
        <v>162000</v>
      </c>
      <c r="R498">
        <v>82890</v>
      </c>
      <c r="S498">
        <v>33.799999999999997</v>
      </c>
      <c r="T498">
        <v>0.06</v>
      </c>
      <c r="U498">
        <v>14693.4</v>
      </c>
    </row>
    <row r="499" spans="1:21" x14ac:dyDescent="0.2">
      <c r="A499" t="s">
        <v>560</v>
      </c>
      <c r="B499" t="s">
        <v>22</v>
      </c>
      <c r="C499" t="s">
        <v>50</v>
      </c>
      <c r="D499" t="s">
        <v>31</v>
      </c>
      <c r="E499" t="s">
        <v>25</v>
      </c>
      <c r="F499" t="s">
        <v>56</v>
      </c>
      <c r="G499" t="s">
        <v>57</v>
      </c>
      <c r="H499" t="s">
        <v>28</v>
      </c>
      <c r="I499">
        <v>13</v>
      </c>
      <c r="J499">
        <v>180000</v>
      </c>
      <c r="K499">
        <v>108000</v>
      </c>
      <c r="L499">
        <v>7.6999999999999999E-2</v>
      </c>
      <c r="M499">
        <v>1</v>
      </c>
      <c r="N499">
        <v>28</v>
      </c>
      <c r="O499">
        <v>166140</v>
      </c>
      <c r="P499">
        <v>2159820</v>
      </c>
      <c r="Q499">
        <v>1404000</v>
      </c>
      <c r="R499">
        <v>755820</v>
      </c>
      <c r="S499">
        <v>35</v>
      </c>
      <c r="T499">
        <v>0.06</v>
      </c>
      <c r="U499">
        <v>129589.2</v>
      </c>
    </row>
    <row r="500" spans="1:21" x14ac:dyDescent="0.2">
      <c r="A500" t="s">
        <v>561</v>
      </c>
      <c r="B500" t="s">
        <v>30</v>
      </c>
      <c r="C500" t="s">
        <v>44</v>
      </c>
      <c r="D500" t="s">
        <v>67</v>
      </c>
      <c r="E500" t="s">
        <v>41</v>
      </c>
      <c r="F500" t="s">
        <v>86</v>
      </c>
      <c r="G500" t="s">
        <v>87</v>
      </c>
      <c r="H500" t="s">
        <v>64</v>
      </c>
      <c r="I500">
        <v>8</v>
      </c>
      <c r="J500">
        <v>28000</v>
      </c>
      <c r="K500">
        <v>16800</v>
      </c>
      <c r="L500">
        <v>9.8000000000000004E-2</v>
      </c>
      <c r="M500">
        <v>1</v>
      </c>
      <c r="N500">
        <v>16</v>
      </c>
      <c r="O500">
        <v>25256</v>
      </c>
      <c r="P500">
        <v>202048</v>
      </c>
      <c r="Q500">
        <v>134400</v>
      </c>
      <c r="R500">
        <v>67648</v>
      </c>
      <c r="S500">
        <v>33.5</v>
      </c>
      <c r="T500">
        <v>2.5000000000000001E-2</v>
      </c>
      <c r="U500">
        <v>5051.2</v>
      </c>
    </row>
    <row r="501" spans="1:21" x14ac:dyDescent="0.2">
      <c r="A501" t="s">
        <v>562</v>
      </c>
      <c r="B501" t="s">
        <v>30</v>
      </c>
      <c r="C501" t="s">
        <v>50</v>
      </c>
      <c r="D501" t="s">
        <v>55</v>
      </c>
      <c r="E501" t="s">
        <v>41</v>
      </c>
      <c r="F501" t="s">
        <v>51</v>
      </c>
      <c r="G501" t="s">
        <v>37</v>
      </c>
      <c r="H501" t="s">
        <v>38</v>
      </c>
      <c r="I501">
        <v>14</v>
      </c>
      <c r="J501">
        <v>32000</v>
      </c>
      <c r="K501">
        <v>19200</v>
      </c>
      <c r="L501">
        <v>0.16600000000000001</v>
      </c>
      <c r="M501">
        <v>0</v>
      </c>
      <c r="N501">
        <v>32</v>
      </c>
      <c r="O501">
        <v>26688</v>
      </c>
      <c r="P501">
        <v>373632</v>
      </c>
      <c r="Q501">
        <v>268800</v>
      </c>
      <c r="R501">
        <v>104832</v>
      </c>
      <c r="S501">
        <v>28.1</v>
      </c>
      <c r="T501">
        <v>2.5000000000000001E-2</v>
      </c>
      <c r="U501">
        <v>9340.7999999999993</v>
      </c>
    </row>
    <row r="502" spans="1:21" x14ac:dyDescent="0.2">
      <c r="A502" t="s">
        <v>563</v>
      </c>
      <c r="B502" t="s">
        <v>22</v>
      </c>
      <c r="C502" t="s">
        <v>35</v>
      </c>
      <c r="D502" t="s">
        <v>45</v>
      </c>
      <c r="E502" t="s">
        <v>25</v>
      </c>
      <c r="F502" t="s">
        <v>62</v>
      </c>
      <c r="G502" t="s">
        <v>57</v>
      </c>
      <c r="H502" t="s">
        <v>28</v>
      </c>
      <c r="I502">
        <v>1</v>
      </c>
      <c r="J502">
        <v>45000</v>
      </c>
      <c r="K502">
        <v>27000</v>
      </c>
      <c r="L502">
        <v>2.5999999999999999E-2</v>
      </c>
      <c r="M502">
        <v>0</v>
      </c>
      <c r="N502">
        <v>23</v>
      </c>
      <c r="O502">
        <v>43830</v>
      </c>
      <c r="P502">
        <v>43830</v>
      </c>
      <c r="Q502">
        <v>27000</v>
      </c>
      <c r="R502">
        <v>16830</v>
      </c>
      <c r="S502">
        <v>38.4</v>
      </c>
      <c r="T502">
        <v>0.06</v>
      </c>
      <c r="U502">
        <v>2629.8</v>
      </c>
    </row>
    <row r="503" spans="1:21" x14ac:dyDescent="0.2">
      <c r="A503" t="s">
        <v>564</v>
      </c>
      <c r="B503" t="s">
        <v>34</v>
      </c>
      <c r="C503" t="s">
        <v>50</v>
      </c>
      <c r="D503" t="s">
        <v>67</v>
      </c>
      <c r="E503" t="s">
        <v>41</v>
      </c>
      <c r="F503" t="s">
        <v>46</v>
      </c>
      <c r="G503" t="s">
        <v>47</v>
      </c>
      <c r="H503" t="s">
        <v>42</v>
      </c>
      <c r="I503">
        <v>4</v>
      </c>
      <c r="J503">
        <v>95000</v>
      </c>
      <c r="K503">
        <v>57000</v>
      </c>
      <c r="L503">
        <v>0.182</v>
      </c>
      <c r="M503">
        <v>1</v>
      </c>
      <c r="N503">
        <v>18</v>
      </c>
      <c r="O503">
        <v>77710</v>
      </c>
      <c r="P503">
        <v>310840</v>
      </c>
      <c r="Q503">
        <v>228000</v>
      </c>
      <c r="R503">
        <v>82840</v>
      </c>
      <c r="S503">
        <v>26.7</v>
      </c>
      <c r="T503">
        <v>2.5000000000000001E-2</v>
      </c>
      <c r="U503">
        <v>7771</v>
      </c>
    </row>
    <row r="504" spans="1:21" x14ac:dyDescent="0.2">
      <c r="A504" t="s">
        <v>565</v>
      </c>
      <c r="B504" t="s">
        <v>30</v>
      </c>
      <c r="C504" t="s">
        <v>50</v>
      </c>
      <c r="D504" t="s">
        <v>31</v>
      </c>
      <c r="E504" t="s">
        <v>25</v>
      </c>
      <c r="F504" t="s">
        <v>51</v>
      </c>
      <c r="G504" t="s">
        <v>37</v>
      </c>
      <c r="H504" t="s">
        <v>59</v>
      </c>
      <c r="I504">
        <v>5</v>
      </c>
      <c r="J504">
        <v>32000</v>
      </c>
      <c r="K504">
        <v>19200</v>
      </c>
      <c r="L504">
        <v>0.04</v>
      </c>
      <c r="M504">
        <v>1</v>
      </c>
      <c r="N504">
        <v>29</v>
      </c>
      <c r="O504">
        <v>30720</v>
      </c>
      <c r="P504">
        <v>153600</v>
      </c>
      <c r="Q504">
        <v>96000</v>
      </c>
      <c r="R504">
        <v>57600</v>
      </c>
      <c r="S504">
        <v>37.5</v>
      </c>
      <c r="T504">
        <v>0.06</v>
      </c>
      <c r="U504">
        <v>9216</v>
      </c>
    </row>
    <row r="505" spans="1:21" x14ac:dyDescent="0.2">
      <c r="A505" t="s">
        <v>566</v>
      </c>
      <c r="B505" t="s">
        <v>54</v>
      </c>
      <c r="C505" t="s">
        <v>44</v>
      </c>
      <c r="D505" t="s">
        <v>40</v>
      </c>
      <c r="E505" t="s">
        <v>41</v>
      </c>
      <c r="F505" t="s">
        <v>51</v>
      </c>
      <c r="G505" t="s">
        <v>37</v>
      </c>
      <c r="H505" t="s">
        <v>38</v>
      </c>
      <c r="I505">
        <v>6</v>
      </c>
      <c r="J505">
        <v>32000</v>
      </c>
      <c r="K505">
        <v>19200</v>
      </c>
      <c r="L505">
        <v>0.19800000000000001</v>
      </c>
      <c r="M505">
        <v>1</v>
      </c>
      <c r="N505">
        <v>20</v>
      </c>
      <c r="O505">
        <v>25664</v>
      </c>
      <c r="P505">
        <v>153984</v>
      </c>
      <c r="Q505">
        <v>115200</v>
      </c>
      <c r="R505">
        <v>38784</v>
      </c>
      <c r="S505">
        <v>25.2</v>
      </c>
      <c r="T505">
        <v>2.5000000000000001E-2</v>
      </c>
      <c r="U505">
        <v>3849.6</v>
      </c>
    </row>
    <row r="506" spans="1:21" x14ac:dyDescent="0.2">
      <c r="A506" t="s">
        <v>567</v>
      </c>
      <c r="B506" t="s">
        <v>22</v>
      </c>
      <c r="C506" t="s">
        <v>50</v>
      </c>
      <c r="D506" t="s">
        <v>24</v>
      </c>
      <c r="E506" t="s">
        <v>25</v>
      </c>
      <c r="F506" t="s">
        <v>26</v>
      </c>
      <c r="G506" t="s">
        <v>27</v>
      </c>
      <c r="H506" t="s">
        <v>59</v>
      </c>
      <c r="I506">
        <v>9</v>
      </c>
      <c r="J506">
        <v>35000</v>
      </c>
      <c r="K506">
        <v>21000</v>
      </c>
      <c r="L506">
        <v>4.0000000000000001E-3</v>
      </c>
      <c r="M506">
        <v>1</v>
      </c>
      <c r="N506">
        <v>41</v>
      </c>
      <c r="O506">
        <v>34860</v>
      </c>
      <c r="P506">
        <v>313740</v>
      </c>
      <c r="Q506">
        <v>189000</v>
      </c>
      <c r="R506">
        <v>124740</v>
      </c>
      <c r="S506">
        <v>39.799999999999997</v>
      </c>
      <c r="T506">
        <v>0.06</v>
      </c>
      <c r="U506">
        <v>18824.400000000001</v>
      </c>
    </row>
    <row r="507" spans="1:21" x14ac:dyDescent="0.2">
      <c r="A507" t="s">
        <v>568</v>
      </c>
      <c r="B507" t="s">
        <v>54</v>
      </c>
      <c r="C507" t="s">
        <v>44</v>
      </c>
      <c r="D507" t="s">
        <v>31</v>
      </c>
      <c r="E507" t="s">
        <v>25</v>
      </c>
      <c r="F507" t="s">
        <v>36</v>
      </c>
      <c r="G507" t="s">
        <v>37</v>
      </c>
      <c r="H507" t="s">
        <v>52</v>
      </c>
      <c r="I507">
        <v>13</v>
      </c>
      <c r="J507">
        <v>8500</v>
      </c>
      <c r="K507">
        <v>5100</v>
      </c>
      <c r="L507">
        <v>3.3000000000000002E-2</v>
      </c>
      <c r="M507">
        <v>1</v>
      </c>
      <c r="N507">
        <v>18</v>
      </c>
      <c r="O507">
        <v>8219.5</v>
      </c>
      <c r="P507">
        <v>106853.5</v>
      </c>
      <c r="Q507">
        <v>66300</v>
      </c>
      <c r="R507">
        <v>40553.5</v>
      </c>
      <c r="S507">
        <v>38</v>
      </c>
      <c r="T507">
        <v>0.06</v>
      </c>
      <c r="U507">
        <v>6411.21</v>
      </c>
    </row>
    <row r="508" spans="1:21" x14ac:dyDescent="0.2">
      <c r="A508" t="s">
        <v>569</v>
      </c>
      <c r="B508" t="s">
        <v>30</v>
      </c>
      <c r="C508" t="s">
        <v>35</v>
      </c>
      <c r="D508" t="s">
        <v>83</v>
      </c>
      <c r="E508" t="s">
        <v>25</v>
      </c>
      <c r="F508" t="s">
        <v>51</v>
      </c>
      <c r="G508" t="s">
        <v>37</v>
      </c>
      <c r="H508" t="s">
        <v>28</v>
      </c>
      <c r="I508">
        <v>14</v>
      </c>
      <c r="J508">
        <v>32000</v>
      </c>
      <c r="K508">
        <v>19200</v>
      </c>
      <c r="L508">
        <v>2.3E-2</v>
      </c>
      <c r="M508">
        <v>1</v>
      </c>
      <c r="N508">
        <v>3</v>
      </c>
      <c r="O508">
        <v>31264</v>
      </c>
      <c r="P508">
        <v>437696</v>
      </c>
      <c r="Q508">
        <v>268800</v>
      </c>
      <c r="R508">
        <v>168896</v>
      </c>
      <c r="S508">
        <v>38.6</v>
      </c>
      <c r="T508">
        <v>0.06</v>
      </c>
      <c r="U508">
        <v>26261.759999999998</v>
      </c>
    </row>
    <row r="509" spans="1:21" x14ac:dyDescent="0.2">
      <c r="A509" t="s">
        <v>570</v>
      </c>
      <c r="B509" t="s">
        <v>30</v>
      </c>
      <c r="C509" t="s">
        <v>35</v>
      </c>
      <c r="D509" t="s">
        <v>55</v>
      </c>
      <c r="E509" t="s">
        <v>41</v>
      </c>
      <c r="F509" t="s">
        <v>73</v>
      </c>
      <c r="G509" t="s">
        <v>74</v>
      </c>
      <c r="H509" t="s">
        <v>28</v>
      </c>
      <c r="I509">
        <v>1</v>
      </c>
      <c r="J509">
        <v>22000</v>
      </c>
      <c r="K509">
        <v>13200</v>
      </c>
      <c r="L509">
        <v>0.125</v>
      </c>
      <c r="M509">
        <v>1</v>
      </c>
      <c r="N509">
        <v>33</v>
      </c>
      <c r="O509">
        <v>19250</v>
      </c>
      <c r="P509">
        <v>19250</v>
      </c>
      <c r="Q509">
        <v>13200</v>
      </c>
      <c r="R509">
        <v>6050</v>
      </c>
      <c r="S509">
        <v>31.4</v>
      </c>
      <c r="T509">
        <v>2.5000000000000001E-2</v>
      </c>
      <c r="U509">
        <v>481.25</v>
      </c>
    </row>
    <row r="510" spans="1:21" x14ac:dyDescent="0.2">
      <c r="A510" t="s">
        <v>571</v>
      </c>
      <c r="B510" t="s">
        <v>54</v>
      </c>
      <c r="C510" t="s">
        <v>23</v>
      </c>
      <c r="D510" t="s">
        <v>67</v>
      </c>
      <c r="E510" t="s">
        <v>41</v>
      </c>
      <c r="F510" t="s">
        <v>46</v>
      </c>
      <c r="G510" t="s">
        <v>47</v>
      </c>
      <c r="H510" t="s">
        <v>75</v>
      </c>
      <c r="I510">
        <v>1</v>
      </c>
      <c r="J510">
        <v>95000</v>
      </c>
      <c r="K510">
        <v>57000</v>
      </c>
      <c r="L510">
        <v>4.8000000000000001E-2</v>
      </c>
      <c r="M510">
        <v>1</v>
      </c>
      <c r="N510">
        <v>3</v>
      </c>
      <c r="O510">
        <v>90440</v>
      </c>
      <c r="P510">
        <v>90440</v>
      </c>
      <c r="Q510">
        <v>57000</v>
      </c>
      <c r="R510">
        <v>33440</v>
      </c>
      <c r="S510">
        <v>37</v>
      </c>
      <c r="T510">
        <v>2.5000000000000001E-2</v>
      </c>
      <c r="U510">
        <v>2261</v>
      </c>
    </row>
    <row r="511" spans="1:21" x14ac:dyDescent="0.2">
      <c r="A511" t="s">
        <v>572</v>
      </c>
      <c r="B511" t="s">
        <v>54</v>
      </c>
      <c r="C511" t="s">
        <v>44</v>
      </c>
      <c r="D511" t="s">
        <v>55</v>
      </c>
      <c r="E511" t="s">
        <v>41</v>
      </c>
      <c r="F511" t="s">
        <v>46</v>
      </c>
      <c r="G511" t="s">
        <v>47</v>
      </c>
      <c r="H511" t="s">
        <v>32</v>
      </c>
      <c r="I511">
        <v>14</v>
      </c>
      <c r="J511">
        <v>95000</v>
      </c>
      <c r="K511">
        <v>57000</v>
      </c>
      <c r="L511">
        <v>9.1999999999999998E-2</v>
      </c>
      <c r="M511">
        <v>0</v>
      </c>
      <c r="N511">
        <v>38</v>
      </c>
      <c r="O511">
        <v>86260</v>
      </c>
      <c r="P511">
        <v>1207640</v>
      </c>
      <c r="Q511">
        <v>798000</v>
      </c>
      <c r="R511">
        <v>409640</v>
      </c>
      <c r="S511">
        <v>33.9</v>
      </c>
      <c r="T511">
        <v>2.5000000000000001E-2</v>
      </c>
      <c r="U511">
        <v>30191</v>
      </c>
    </row>
    <row r="512" spans="1:21" x14ac:dyDescent="0.2">
      <c r="A512" t="s">
        <v>573</v>
      </c>
      <c r="B512" t="s">
        <v>54</v>
      </c>
      <c r="C512" t="s">
        <v>35</v>
      </c>
      <c r="D512" t="s">
        <v>40</v>
      </c>
      <c r="E512" t="s">
        <v>41</v>
      </c>
      <c r="F512" t="s">
        <v>73</v>
      </c>
      <c r="G512" t="s">
        <v>74</v>
      </c>
      <c r="H512" t="s">
        <v>28</v>
      </c>
      <c r="I512">
        <v>3</v>
      </c>
      <c r="J512">
        <v>22000</v>
      </c>
      <c r="K512">
        <v>13200</v>
      </c>
      <c r="L512">
        <v>7.0000000000000007E-2</v>
      </c>
      <c r="M512">
        <v>1</v>
      </c>
      <c r="N512">
        <v>5</v>
      </c>
      <c r="O512">
        <v>20460</v>
      </c>
      <c r="P512">
        <v>61380</v>
      </c>
      <c r="Q512">
        <v>39600</v>
      </c>
      <c r="R512">
        <v>21780</v>
      </c>
      <c r="S512">
        <v>35.5</v>
      </c>
      <c r="T512">
        <v>2.5000000000000001E-2</v>
      </c>
      <c r="U512">
        <v>1534.5</v>
      </c>
    </row>
    <row r="513" spans="1:21" x14ac:dyDescent="0.2">
      <c r="A513" t="s">
        <v>574</v>
      </c>
      <c r="B513" t="s">
        <v>30</v>
      </c>
      <c r="C513" t="s">
        <v>44</v>
      </c>
      <c r="D513" t="s">
        <v>67</v>
      </c>
      <c r="E513" t="s">
        <v>41</v>
      </c>
      <c r="F513" t="s">
        <v>36</v>
      </c>
      <c r="G513" t="s">
        <v>37</v>
      </c>
      <c r="H513" t="s">
        <v>64</v>
      </c>
      <c r="I513">
        <v>3</v>
      </c>
      <c r="J513">
        <v>8500</v>
      </c>
      <c r="K513">
        <v>5100</v>
      </c>
      <c r="L513">
        <v>0.154</v>
      </c>
      <c r="M513">
        <v>1</v>
      </c>
      <c r="N513">
        <v>39</v>
      </c>
      <c r="O513">
        <v>7191</v>
      </c>
      <c r="P513">
        <v>21573</v>
      </c>
      <c r="Q513">
        <v>15300</v>
      </c>
      <c r="R513">
        <v>6273</v>
      </c>
      <c r="S513">
        <v>29.1</v>
      </c>
      <c r="T513">
        <v>2.5000000000000001E-2</v>
      </c>
      <c r="U513">
        <v>539.33000000000004</v>
      </c>
    </row>
    <row r="514" spans="1:21" x14ac:dyDescent="0.2">
      <c r="A514" t="s">
        <v>575</v>
      </c>
      <c r="B514" t="s">
        <v>22</v>
      </c>
      <c r="C514" t="s">
        <v>50</v>
      </c>
      <c r="D514" t="s">
        <v>31</v>
      </c>
      <c r="E514" t="s">
        <v>25</v>
      </c>
      <c r="F514" t="s">
        <v>62</v>
      </c>
      <c r="G514" t="s">
        <v>57</v>
      </c>
      <c r="H514" t="s">
        <v>38</v>
      </c>
      <c r="I514">
        <v>5</v>
      </c>
      <c r="J514">
        <v>45000</v>
      </c>
      <c r="K514">
        <v>27000</v>
      </c>
      <c r="L514">
        <v>5.5E-2</v>
      </c>
      <c r="M514">
        <v>0</v>
      </c>
      <c r="N514">
        <v>36</v>
      </c>
      <c r="O514">
        <v>42525</v>
      </c>
      <c r="P514">
        <v>212625</v>
      </c>
      <c r="Q514">
        <v>135000</v>
      </c>
      <c r="R514">
        <v>77625</v>
      </c>
      <c r="S514">
        <v>36.5</v>
      </c>
      <c r="T514">
        <v>0.06</v>
      </c>
      <c r="U514">
        <v>12757.5</v>
      </c>
    </row>
    <row r="515" spans="1:21" x14ac:dyDescent="0.2">
      <c r="A515" t="s">
        <v>576</v>
      </c>
      <c r="B515" t="s">
        <v>34</v>
      </c>
      <c r="C515" t="s">
        <v>50</v>
      </c>
      <c r="D515" t="s">
        <v>67</v>
      </c>
      <c r="E515" t="s">
        <v>41</v>
      </c>
      <c r="F515" t="s">
        <v>36</v>
      </c>
      <c r="G515" t="s">
        <v>37</v>
      </c>
      <c r="H515" t="s">
        <v>75</v>
      </c>
      <c r="I515">
        <v>9</v>
      </c>
      <c r="J515">
        <v>8500</v>
      </c>
      <c r="K515">
        <v>5100</v>
      </c>
      <c r="L515">
        <v>5.1999999999999998E-2</v>
      </c>
      <c r="M515">
        <v>1</v>
      </c>
      <c r="N515">
        <v>30</v>
      </c>
      <c r="O515">
        <v>8058</v>
      </c>
      <c r="P515">
        <v>72522</v>
      </c>
      <c r="Q515">
        <v>45900</v>
      </c>
      <c r="R515">
        <v>26622</v>
      </c>
      <c r="S515">
        <v>36.700000000000003</v>
      </c>
      <c r="T515">
        <v>2.5000000000000001E-2</v>
      </c>
      <c r="U515">
        <v>1813.05</v>
      </c>
    </row>
    <row r="516" spans="1:21" x14ac:dyDescent="0.2">
      <c r="A516" t="s">
        <v>577</v>
      </c>
      <c r="B516" t="s">
        <v>54</v>
      </c>
      <c r="C516" t="s">
        <v>35</v>
      </c>
      <c r="D516" t="s">
        <v>55</v>
      </c>
      <c r="E516" t="s">
        <v>41</v>
      </c>
      <c r="F516" t="s">
        <v>73</v>
      </c>
      <c r="G516" t="s">
        <v>74</v>
      </c>
      <c r="H516" t="s">
        <v>28</v>
      </c>
      <c r="I516">
        <v>1</v>
      </c>
      <c r="J516">
        <v>22000</v>
      </c>
      <c r="K516">
        <v>13200</v>
      </c>
      <c r="L516">
        <v>3.6999999999999998E-2</v>
      </c>
      <c r="M516">
        <v>1</v>
      </c>
      <c r="N516">
        <v>35</v>
      </c>
      <c r="O516">
        <v>21186</v>
      </c>
      <c r="P516">
        <v>21186</v>
      </c>
      <c r="Q516">
        <v>13200</v>
      </c>
      <c r="R516">
        <v>7986</v>
      </c>
      <c r="S516">
        <v>37.700000000000003</v>
      </c>
      <c r="T516">
        <v>2.5000000000000001E-2</v>
      </c>
      <c r="U516">
        <v>529.65</v>
      </c>
    </row>
    <row r="517" spans="1:21" x14ac:dyDescent="0.2">
      <c r="A517" t="s">
        <v>578</v>
      </c>
      <c r="B517" t="s">
        <v>30</v>
      </c>
      <c r="C517" t="s">
        <v>50</v>
      </c>
      <c r="D517" t="s">
        <v>67</v>
      </c>
      <c r="E517" t="s">
        <v>41</v>
      </c>
      <c r="F517" t="s">
        <v>26</v>
      </c>
      <c r="G517" t="s">
        <v>27</v>
      </c>
      <c r="H517" t="s">
        <v>52</v>
      </c>
      <c r="I517">
        <v>2</v>
      </c>
      <c r="J517">
        <v>35000</v>
      </c>
      <c r="K517">
        <v>21000</v>
      </c>
      <c r="L517">
        <v>0.126</v>
      </c>
      <c r="M517">
        <v>0</v>
      </c>
      <c r="N517">
        <v>19</v>
      </c>
      <c r="O517">
        <v>30590</v>
      </c>
      <c r="P517">
        <v>61180</v>
      </c>
      <c r="Q517">
        <v>42000</v>
      </c>
      <c r="R517">
        <v>19180</v>
      </c>
      <c r="S517">
        <v>31.4</v>
      </c>
      <c r="T517">
        <v>2.5000000000000001E-2</v>
      </c>
      <c r="U517">
        <v>1529.5</v>
      </c>
    </row>
    <row r="518" spans="1:21" x14ac:dyDescent="0.2">
      <c r="A518" t="s">
        <v>579</v>
      </c>
      <c r="B518" t="s">
        <v>34</v>
      </c>
      <c r="C518" t="s">
        <v>50</v>
      </c>
      <c r="D518" t="s">
        <v>40</v>
      </c>
      <c r="E518" t="s">
        <v>41</v>
      </c>
      <c r="F518" t="s">
        <v>51</v>
      </c>
      <c r="G518" t="s">
        <v>37</v>
      </c>
      <c r="H518" t="s">
        <v>48</v>
      </c>
      <c r="I518">
        <v>3</v>
      </c>
      <c r="J518">
        <v>32000</v>
      </c>
      <c r="K518">
        <v>19200</v>
      </c>
      <c r="L518">
        <v>6.3E-2</v>
      </c>
      <c r="M518">
        <v>1</v>
      </c>
      <c r="N518">
        <v>11</v>
      </c>
      <c r="O518">
        <v>29984</v>
      </c>
      <c r="P518">
        <v>89952</v>
      </c>
      <c r="Q518">
        <v>57600</v>
      </c>
      <c r="R518">
        <v>32352</v>
      </c>
      <c r="S518">
        <v>36</v>
      </c>
      <c r="T518">
        <v>2.5000000000000001E-2</v>
      </c>
      <c r="U518">
        <v>2248.8000000000002</v>
      </c>
    </row>
    <row r="519" spans="1:21" x14ac:dyDescent="0.2">
      <c r="A519" t="s">
        <v>580</v>
      </c>
      <c r="B519" t="s">
        <v>34</v>
      </c>
      <c r="C519" t="s">
        <v>35</v>
      </c>
      <c r="D519" t="s">
        <v>40</v>
      </c>
      <c r="E519" t="s">
        <v>41</v>
      </c>
      <c r="F519" t="s">
        <v>26</v>
      </c>
      <c r="G519" t="s">
        <v>27</v>
      </c>
      <c r="H519" t="s">
        <v>32</v>
      </c>
      <c r="I519">
        <v>13</v>
      </c>
      <c r="J519">
        <v>35000</v>
      </c>
      <c r="K519">
        <v>21000</v>
      </c>
      <c r="L519">
        <v>0.13900000000000001</v>
      </c>
      <c r="M519">
        <v>0</v>
      </c>
      <c r="N519">
        <v>41</v>
      </c>
      <c r="O519">
        <v>30135</v>
      </c>
      <c r="P519">
        <v>391755</v>
      </c>
      <c r="Q519">
        <v>273000</v>
      </c>
      <c r="R519">
        <v>118755</v>
      </c>
      <c r="S519">
        <v>30.3</v>
      </c>
      <c r="T519">
        <v>2.5000000000000001E-2</v>
      </c>
      <c r="U519">
        <v>9793.8799999999992</v>
      </c>
    </row>
    <row r="520" spans="1:21" x14ac:dyDescent="0.2">
      <c r="A520" t="s">
        <v>581</v>
      </c>
      <c r="B520" t="s">
        <v>34</v>
      </c>
      <c r="C520" t="s">
        <v>23</v>
      </c>
      <c r="D520" t="s">
        <v>67</v>
      </c>
      <c r="E520" t="s">
        <v>41</v>
      </c>
      <c r="F520" t="s">
        <v>86</v>
      </c>
      <c r="G520" t="s">
        <v>87</v>
      </c>
      <c r="H520" t="s">
        <v>28</v>
      </c>
      <c r="I520">
        <v>12</v>
      </c>
      <c r="J520">
        <v>28000</v>
      </c>
      <c r="K520">
        <v>16800</v>
      </c>
      <c r="L520">
        <v>0.151</v>
      </c>
      <c r="M520">
        <v>0</v>
      </c>
      <c r="N520">
        <v>8</v>
      </c>
      <c r="O520">
        <v>23772</v>
      </c>
      <c r="P520">
        <v>285264</v>
      </c>
      <c r="Q520">
        <v>201600</v>
      </c>
      <c r="R520">
        <v>83664</v>
      </c>
      <c r="S520">
        <v>29.3</v>
      </c>
      <c r="T520">
        <v>2.5000000000000001E-2</v>
      </c>
      <c r="U520">
        <v>7131.6</v>
      </c>
    </row>
    <row r="521" spans="1:21" x14ac:dyDescent="0.2">
      <c r="A521" t="s">
        <v>582</v>
      </c>
      <c r="B521" t="s">
        <v>34</v>
      </c>
      <c r="C521" t="s">
        <v>23</v>
      </c>
      <c r="D521" t="s">
        <v>83</v>
      </c>
      <c r="E521" t="s">
        <v>25</v>
      </c>
      <c r="F521" t="s">
        <v>51</v>
      </c>
      <c r="G521" t="s">
        <v>37</v>
      </c>
      <c r="H521" t="s">
        <v>59</v>
      </c>
      <c r="I521">
        <v>5</v>
      </c>
      <c r="J521">
        <v>32000</v>
      </c>
      <c r="K521">
        <v>19200</v>
      </c>
      <c r="L521">
        <v>3.3000000000000002E-2</v>
      </c>
      <c r="M521">
        <v>1</v>
      </c>
      <c r="N521">
        <v>16</v>
      </c>
      <c r="O521">
        <v>30944</v>
      </c>
      <c r="P521">
        <v>154720</v>
      </c>
      <c r="Q521">
        <v>96000</v>
      </c>
      <c r="R521">
        <v>58720</v>
      </c>
      <c r="S521">
        <v>38</v>
      </c>
      <c r="T521">
        <v>0.06</v>
      </c>
      <c r="U521">
        <v>9283.2000000000007</v>
      </c>
    </row>
    <row r="522" spans="1:21" x14ac:dyDescent="0.2">
      <c r="A522" t="s">
        <v>583</v>
      </c>
      <c r="B522" t="s">
        <v>34</v>
      </c>
      <c r="C522" t="s">
        <v>44</v>
      </c>
      <c r="D522" t="s">
        <v>24</v>
      </c>
      <c r="E522" t="s">
        <v>25</v>
      </c>
      <c r="F522" t="s">
        <v>86</v>
      </c>
      <c r="G522" t="s">
        <v>87</v>
      </c>
      <c r="H522" t="s">
        <v>28</v>
      </c>
      <c r="I522">
        <v>10</v>
      </c>
      <c r="J522">
        <v>28000</v>
      </c>
      <c r="K522">
        <v>16800</v>
      </c>
      <c r="L522">
        <v>1.4E-2</v>
      </c>
      <c r="M522">
        <v>0</v>
      </c>
      <c r="N522">
        <v>5</v>
      </c>
      <c r="O522">
        <v>27608</v>
      </c>
      <c r="P522">
        <v>276080</v>
      </c>
      <c r="Q522">
        <v>168000</v>
      </c>
      <c r="R522">
        <v>108080</v>
      </c>
      <c r="S522">
        <v>39.1</v>
      </c>
      <c r="T522">
        <v>0.06</v>
      </c>
      <c r="U522">
        <v>16564.8</v>
      </c>
    </row>
    <row r="523" spans="1:21" x14ac:dyDescent="0.2">
      <c r="A523" t="s">
        <v>584</v>
      </c>
      <c r="B523" t="s">
        <v>54</v>
      </c>
      <c r="C523" t="s">
        <v>50</v>
      </c>
      <c r="D523" t="s">
        <v>55</v>
      </c>
      <c r="E523" t="s">
        <v>41</v>
      </c>
      <c r="F523" t="s">
        <v>51</v>
      </c>
      <c r="G523" t="s">
        <v>37</v>
      </c>
      <c r="H523" t="s">
        <v>32</v>
      </c>
      <c r="I523">
        <v>7</v>
      </c>
      <c r="J523">
        <v>32000</v>
      </c>
      <c r="K523">
        <v>19200</v>
      </c>
      <c r="L523">
        <v>0.161</v>
      </c>
      <c r="M523">
        <v>1</v>
      </c>
      <c r="N523">
        <v>5</v>
      </c>
      <c r="O523">
        <v>26848</v>
      </c>
      <c r="P523">
        <v>187936</v>
      </c>
      <c r="Q523">
        <v>134400</v>
      </c>
      <c r="R523">
        <v>53536</v>
      </c>
      <c r="S523">
        <v>28.5</v>
      </c>
      <c r="T523">
        <v>2.5000000000000001E-2</v>
      </c>
      <c r="U523">
        <v>4698.3999999999996</v>
      </c>
    </row>
    <row r="524" spans="1:21" x14ac:dyDescent="0.2">
      <c r="A524" t="s">
        <v>585</v>
      </c>
      <c r="B524" t="s">
        <v>22</v>
      </c>
      <c r="C524" t="s">
        <v>23</v>
      </c>
      <c r="D524" t="s">
        <v>67</v>
      </c>
      <c r="E524" t="s">
        <v>41</v>
      </c>
      <c r="F524" t="s">
        <v>36</v>
      </c>
      <c r="G524" t="s">
        <v>37</v>
      </c>
      <c r="H524" t="s">
        <v>42</v>
      </c>
      <c r="I524">
        <v>12</v>
      </c>
      <c r="J524">
        <v>8500</v>
      </c>
      <c r="K524">
        <v>5100</v>
      </c>
      <c r="L524">
        <v>0.11</v>
      </c>
      <c r="M524">
        <v>1</v>
      </c>
      <c r="N524">
        <v>33</v>
      </c>
      <c r="O524">
        <v>7565</v>
      </c>
      <c r="P524">
        <v>90780</v>
      </c>
      <c r="Q524">
        <v>61200</v>
      </c>
      <c r="R524">
        <v>29580</v>
      </c>
      <c r="S524">
        <v>32.6</v>
      </c>
      <c r="T524">
        <v>2.5000000000000001E-2</v>
      </c>
      <c r="U524">
        <v>2269.5</v>
      </c>
    </row>
    <row r="525" spans="1:21" x14ac:dyDescent="0.2">
      <c r="A525" t="s">
        <v>586</v>
      </c>
      <c r="B525" t="s">
        <v>22</v>
      </c>
      <c r="C525" t="s">
        <v>35</v>
      </c>
      <c r="D525" t="s">
        <v>31</v>
      </c>
      <c r="E525" t="s">
        <v>25</v>
      </c>
      <c r="F525" t="s">
        <v>86</v>
      </c>
      <c r="G525" t="s">
        <v>87</v>
      </c>
      <c r="H525" t="s">
        <v>75</v>
      </c>
      <c r="I525">
        <v>10</v>
      </c>
      <c r="J525">
        <v>28000</v>
      </c>
      <c r="K525">
        <v>16800</v>
      </c>
      <c r="L525">
        <v>3.3000000000000002E-2</v>
      </c>
      <c r="M525">
        <v>1</v>
      </c>
      <c r="N525">
        <v>34</v>
      </c>
      <c r="O525">
        <v>27076</v>
      </c>
      <c r="P525">
        <v>270760</v>
      </c>
      <c r="Q525">
        <v>168000</v>
      </c>
      <c r="R525">
        <v>102760</v>
      </c>
      <c r="S525">
        <v>38</v>
      </c>
      <c r="T525">
        <v>0.06</v>
      </c>
      <c r="U525">
        <v>16245.6</v>
      </c>
    </row>
    <row r="526" spans="1:21" x14ac:dyDescent="0.2">
      <c r="A526" t="s">
        <v>587</v>
      </c>
      <c r="B526" t="s">
        <v>54</v>
      </c>
      <c r="C526" t="s">
        <v>50</v>
      </c>
      <c r="D526" t="s">
        <v>45</v>
      </c>
      <c r="E526" t="s">
        <v>25</v>
      </c>
      <c r="F526" t="s">
        <v>51</v>
      </c>
      <c r="G526" t="s">
        <v>37</v>
      </c>
      <c r="H526" t="s">
        <v>52</v>
      </c>
      <c r="I526">
        <v>5</v>
      </c>
      <c r="J526">
        <v>32000</v>
      </c>
      <c r="K526">
        <v>19200</v>
      </c>
      <c r="L526">
        <v>4.8000000000000001E-2</v>
      </c>
      <c r="M526">
        <v>1</v>
      </c>
      <c r="N526">
        <v>39</v>
      </c>
      <c r="O526">
        <v>30464</v>
      </c>
      <c r="P526">
        <v>152320</v>
      </c>
      <c r="Q526">
        <v>96000</v>
      </c>
      <c r="R526">
        <v>56320</v>
      </c>
      <c r="S526">
        <v>37</v>
      </c>
      <c r="T526">
        <v>0.06</v>
      </c>
      <c r="U526">
        <v>9139.2000000000007</v>
      </c>
    </row>
    <row r="527" spans="1:21" x14ac:dyDescent="0.2">
      <c r="A527" t="s">
        <v>588</v>
      </c>
      <c r="B527" t="s">
        <v>34</v>
      </c>
      <c r="C527" t="s">
        <v>35</v>
      </c>
      <c r="D527" t="s">
        <v>67</v>
      </c>
      <c r="E527" t="s">
        <v>41</v>
      </c>
      <c r="F527" t="s">
        <v>56</v>
      </c>
      <c r="G527" t="s">
        <v>57</v>
      </c>
      <c r="H527" t="s">
        <v>32</v>
      </c>
      <c r="I527">
        <v>7</v>
      </c>
      <c r="J527">
        <v>180000</v>
      </c>
      <c r="K527">
        <v>108000</v>
      </c>
      <c r="L527">
        <v>0.154</v>
      </c>
      <c r="M527">
        <v>1</v>
      </c>
      <c r="N527">
        <v>5</v>
      </c>
      <c r="O527">
        <v>152280</v>
      </c>
      <c r="P527">
        <v>1065960</v>
      </c>
      <c r="Q527">
        <v>756000</v>
      </c>
      <c r="R527">
        <v>309960</v>
      </c>
      <c r="S527">
        <v>29.1</v>
      </c>
      <c r="T527">
        <v>2.5000000000000001E-2</v>
      </c>
      <c r="U527">
        <v>26649</v>
      </c>
    </row>
    <row r="528" spans="1:21" x14ac:dyDescent="0.2">
      <c r="A528" t="s">
        <v>589</v>
      </c>
      <c r="B528" t="s">
        <v>30</v>
      </c>
      <c r="C528" t="s">
        <v>35</v>
      </c>
      <c r="D528" t="s">
        <v>31</v>
      </c>
      <c r="E528" t="s">
        <v>25</v>
      </c>
      <c r="F528" t="s">
        <v>86</v>
      </c>
      <c r="G528" t="s">
        <v>87</v>
      </c>
      <c r="H528" t="s">
        <v>59</v>
      </c>
      <c r="I528">
        <v>5</v>
      </c>
      <c r="J528">
        <v>28000</v>
      </c>
      <c r="K528">
        <v>16800</v>
      </c>
      <c r="L528">
        <v>1E-3</v>
      </c>
      <c r="M528">
        <v>1</v>
      </c>
      <c r="N528">
        <v>8</v>
      </c>
      <c r="O528">
        <v>27972</v>
      </c>
      <c r="P528">
        <v>139860</v>
      </c>
      <c r="Q528">
        <v>84000</v>
      </c>
      <c r="R528">
        <v>55860</v>
      </c>
      <c r="S528">
        <v>39.9</v>
      </c>
      <c r="T528">
        <v>0.06</v>
      </c>
      <c r="U528">
        <v>8391.6</v>
      </c>
    </row>
    <row r="529" spans="1:21" x14ac:dyDescent="0.2">
      <c r="A529" t="s">
        <v>590</v>
      </c>
      <c r="B529" t="s">
        <v>30</v>
      </c>
      <c r="C529" t="s">
        <v>50</v>
      </c>
      <c r="D529" t="s">
        <v>67</v>
      </c>
      <c r="E529" t="s">
        <v>41</v>
      </c>
      <c r="F529" t="s">
        <v>51</v>
      </c>
      <c r="G529" t="s">
        <v>37</v>
      </c>
      <c r="H529" t="s">
        <v>75</v>
      </c>
      <c r="I529">
        <v>9</v>
      </c>
      <c r="J529">
        <v>32000</v>
      </c>
      <c r="K529">
        <v>19200</v>
      </c>
      <c r="L529">
        <v>4.1000000000000002E-2</v>
      </c>
      <c r="M529">
        <v>1</v>
      </c>
      <c r="N529">
        <v>33</v>
      </c>
      <c r="O529">
        <v>30688</v>
      </c>
      <c r="P529">
        <v>276192</v>
      </c>
      <c r="Q529">
        <v>172800</v>
      </c>
      <c r="R529">
        <v>103392</v>
      </c>
      <c r="S529">
        <v>37.4</v>
      </c>
      <c r="T529">
        <v>2.5000000000000001E-2</v>
      </c>
      <c r="U529">
        <v>6904.8</v>
      </c>
    </row>
    <row r="530" spans="1:21" x14ac:dyDescent="0.2">
      <c r="A530" t="s">
        <v>591</v>
      </c>
      <c r="B530" t="s">
        <v>22</v>
      </c>
      <c r="C530" t="s">
        <v>44</v>
      </c>
      <c r="D530" t="s">
        <v>55</v>
      </c>
      <c r="E530" t="s">
        <v>41</v>
      </c>
      <c r="F530" t="s">
        <v>86</v>
      </c>
      <c r="G530" t="s">
        <v>87</v>
      </c>
      <c r="H530" t="s">
        <v>28</v>
      </c>
      <c r="I530">
        <v>7</v>
      </c>
      <c r="J530">
        <v>28000</v>
      </c>
      <c r="K530">
        <v>16800</v>
      </c>
      <c r="L530">
        <v>3.6999999999999998E-2</v>
      </c>
      <c r="M530">
        <v>1</v>
      </c>
      <c r="N530">
        <v>15</v>
      </c>
      <c r="O530">
        <v>26964</v>
      </c>
      <c r="P530">
        <v>188748</v>
      </c>
      <c r="Q530">
        <v>117600</v>
      </c>
      <c r="R530">
        <v>71148</v>
      </c>
      <c r="S530">
        <v>37.700000000000003</v>
      </c>
      <c r="T530">
        <v>2.5000000000000001E-2</v>
      </c>
      <c r="U530">
        <v>4718.7</v>
      </c>
    </row>
    <row r="531" spans="1:21" x14ac:dyDescent="0.2">
      <c r="A531" t="s">
        <v>592</v>
      </c>
      <c r="B531" t="s">
        <v>54</v>
      </c>
      <c r="C531" t="s">
        <v>35</v>
      </c>
      <c r="D531" t="s">
        <v>45</v>
      </c>
      <c r="E531" t="s">
        <v>25</v>
      </c>
      <c r="F531" t="s">
        <v>86</v>
      </c>
      <c r="G531" t="s">
        <v>87</v>
      </c>
      <c r="H531" t="s">
        <v>48</v>
      </c>
      <c r="I531">
        <v>9</v>
      </c>
      <c r="J531">
        <v>28000</v>
      </c>
      <c r="K531">
        <v>16800</v>
      </c>
      <c r="L531">
        <v>5.2999999999999999E-2</v>
      </c>
      <c r="M531">
        <v>0</v>
      </c>
      <c r="N531">
        <v>22</v>
      </c>
      <c r="O531">
        <v>26516</v>
      </c>
      <c r="P531">
        <v>238644</v>
      </c>
      <c r="Q531">
        <v>151200</v>
      </c>
      <c r="R531">
        <v>87444</v>
      </c>
      <c r="S531">
        <v>36.6</v>
      </c>
      <c r="T531">
        <v>0.06</v>
      </c>
      <c r="U531">
        <v>14318.64</v>
      </c>
    </row>
    <row r="532" spans="1:21" x14ac:dyDescent="0.2">
      <c r="A532" t="s">
        <v>593</v>
      </c>
      <c r="B532" t="s">
        <v>30</v>
      </c>
      <c r="C532" t="s">
        <v>81</v>
      </c>
      <c r="D532" t="s">
        <v>40</v>
      </c>
      <c r="E532" t="s">
        <v>41</v>
      </c>
      <c r="F532" t="s">
        <v>26</v>
      </c>
      <c r="G532" t="s">
        <v>27</v>
      </c>
      <c r="H532" t="s">
        <v>75</v>
      </c>
      <c r="I532">
        <v>3</v>
      </c>
      <c r="J532">
        <v>35000</v>
      </c>
      <c r="K532">
        <v>21000</v>
      </c>
      <c r="L532">
        <v>0.01</v>
      </c>
      <c r="M532">
        <v>0</v>
      </c>
      <c r="N532">
        <v>4</v>
      </c>
      <c r="O532">
        <v>34650</v>
      </c>
      <c r="P532">
        <v>103950</v>
      </c>
      <c r="Q532">
        <v>63000</v>
      </c>
      <c r="R532">
        <v>40950</v>
      </c>
      <c r="S532">
        <v>39.4</v>
      </c>
      <c r="T532">
        <v>2.5000000000000001E-2</v>
      </c>
      <c r="U532">
        <v>2598.75</v>
      </c>
    </row>
    <row r="533" spans="1:21" x14ac:dyDescent="0.2">
      <c r="A533" t="s">
        <v>594</v>
      </c>
      <c r="B533" t="s">
        <v>22</v>
      </c>
      <c r="C533" t="s">
        <v>50</v>
      </c>
      <c r="D533" t="s">
        <v>45</v>
      </c>
      <c r="E533" t="s">
        <v>25</v>
      </c>
      <c r="F533" t="s">
        <v>56</v>
      </c>
      <c r="G533" t="s">
        <v>57</v>
      </c>
      <c r="H533" t="s">
        <v>70</v>
      </c>
      <c r="I533">
        <v>9</v>
      </c>
      <c r="J533">
        <v>180000</v>
      </c>
      <c r="K533">
        <v>108000</v>
      </c>
      <c r="L533">
        <v>0</v>
      </c>
      <c r="M533">
        <v>0</v>
      </c>
      <c r="N533">
        <v>33</v>
      </c>
      <c r="O533">
        <v>180000</v>
      </c>
      <c r="P533">
        <v>1620000</v>
      </c>
      <c r="Q533">
        <v>972000</v>
      </c>
      <c r="R533">
        <v>648000</v>
      </c>
      <c r="S533">
        <v>40</v>
      </c>
      <c r="T533">
        <v>0.06</v>
      </c>
      <c r="U533">
        <v>97200</v>
      </c>
    </row>
    <row r="534" spans="1:21" x14ac:dyDescent="0.2">
      <c r="A534" t="s">
        <v>595</v>
      </c>
      <c r="B534" t="s">
        <v>22</v>
      </c>
      <c r="C534" t="s">
        <v>23</v>
      </c>
      <c r="D534" t="s">
        <v>40</v>
      </c>
      <c r="E534" t="s">
        <v>41</v>
      </c>
      <c r="F534" t="s">
        <v>36</v>
      </c>
      <c r="G534" t="s">
        <v>37</v>
      </c>
      <c r="H534" t="s">
        <v>38</v>
      </c>
      <c r="I534">
        <v>10</v>
      </c>
      <c r="J534">
        <v>8500</v>
      </c>
      <c r="K534">
        <v>5100</v>
      </c>
      <c r="L534">
        <v>4.2000000000000003E-2</v>
      </c>
      <c r="M534">
        <v>1</v>
      </c>
      <c r="N534">
        <v>12</v>
      </c>
      <c r="O534">
        <v>8143</v>
      </c>
      <c r="P534">
        <v>81430</v>
      </c>
      <c r="Q534">
        <v>51000</v>
      </c>
      <c r="R534">
        <v>30430</v>
      </c>
      <c r="S534">
        <v>37.4</v>
      </c>
      <c r="T534">
        <v>2.5000000000000001E-2</v>
      </c>
      <c r="U534">
        <v>2035.75</v>
      </c>
    </row>
    <row r="535" spans="1:21" x14ac:dyDescent="0.2">
      <c r="A535" t="s">
        <v>596</v>
      </c>
      <c r="B535" t="s">
        <v>22</v>
      </c>
      <c r="C535" t="s">
        <v>23</v>
      </c>
      <c r="D535" t="s">
        <v>55</v>
      </c>
      <c r="E535" t="s">
        <v>41</v>
      </c>
      <c r="F535" t="s">
        <v>62</v>
      </c>
      <c r="G535" t="s">
        <v>57</v>
      </c>
      <c r="H535" t="s">
        <v>38</v>
      </c>
      <c r="I535">
        <v>6</v>
      </c>
      <c r="J535">
        <v>45000</v>
      </c>
      <c r="K535">
        <v>27000</v>
      </c>
      <c r="L535">
        <v>0.16800000000000001</v>
      </c>
      <c r="M535">
        <v>1</v>
      </c>
      <c r="N535">
        <v>21</v>
      </c>
      <c r="O535">
        <v>37440</v>
      </c>
      <c r="P535">
        <v>224640</v>
      </c>
      <c r="Q535">
        <v>162000</v>
      </c>
      <c r="R535">
        <v>62640</v>
      </c>
      <c r="S535">
        <v>27.9</v>
      </c>
      <c r="T535">
        <v>2.5000000000000001E-2</v>
      </c>
      <c r="U535">
        <v>5616</v>
      </c>
    </row>
    <row r="536" spans="1:21" x14ac:dyDescent="0.2">
      <c r="A536" t="s">
        <v>597</v>
      </c>
      <c r="B536" t="s">
        <v>54</v>
      </c>
      <c r="C536" t="s">
        <v>50</v>
      </c>
      <c r="D536" t="s">
        <v>40</v>
      </c>
      <c r="E536" t="s">
        <v>41</v>
      </c>
      <c r="F536" t="s">
        <v>73</v>
      </c>
      <c r="G536" t="s">
        <v>74</v>
      </c>
      <c r="H536" t="s">
        <v>52</v>
      </c>
      <c r="I536">
        <v>1</v>
      </c>
      <c r="J536">
        <v>22000</v>
      </c>
      <c r="K536">
        <v>13200</v>
      </c>
      <c r="L536">
        <v>8.3000000000000004E-2</v>
      </c>
      <c r="M536">
        <v>1</v>
      </c>
      <c r="N536">
        <v>21</v>
      </c>
      <c r="O536">
        <v>20174</v>
      </c>
      <c r="P536">
        <v>20174</v>
      </c>
      <c r="Q536">
        <v>13200</v>
      </c>
      <c r="R536">
        <v>6974</v>
      </c>
      <c r="S536">
        <v>34.6</v>
      </c>
      <c r="T536">
        <v>2.5000000000000001E-2</v>
      </c>
      <c r="U536">
        <v>504.35</v>
      </c>
    </row>
    <row r="537" spans="1:21" x14ac:dyDescent="0.2">
      <c r="A537" t="s">
        <v>598</v>
      </c>
      <c r="B537" t="s">
        <v>34</v>
      </c>
      <c r="C537" t="s">
        <v>50</v>
      </c>
      <c r="D537" t="s">
        <v>67</v>
      </c>
      <c r="E537" t="s">
        <v>41</v>
      </c>
      <c r="F537" t="s">
        <v>36</v>
      </c>
      <c r="G537" t="s">
        <v>37</v>
      </c>
      <c r="H537" t="s">
        <v>52</v>
      </c>
      <c r="I537">
        <v>1</v>
      </c>
      <c r="J537">
        <v>8500</v>
      </c>
      <c r="K537">
        <v>5100</v>
      </c>
      <c r="L537">
        <v>9.1999999999999998E-2</v>
      </c>
      <c r="M537">
        <v>1</v>
      </c>
      <c r="N537">
        <v>26</v>
      </c>
      <c r="O537">
        <v>7718</v>
      </c>
      <c r="P537">
        <v>7718</v>
      </c>
      <c r="Q537">
        <v>5100</v>
      </c>
      <c r="R537">
        <v>2618</v>
      </c>
      <c r="S537">
        <v>33.9</v>
      </c>
      <c r="T537">
        <v>2.5000000000000001E-2</v>
      </c>
      <c r="U537">
        <v>192.95</v>
      </c>
    </row>
    <row r="538" spans="1:21" x14ac:dyDescent="0.2">
      <c r="A538" t="s">
        <v>599</v>
      </c>
      <c r="B538" t="s">
        <v>22</v>
      </c>
      <c r="C538" t="s">
        <v>50</v>
      </c>
      <c r="D538" t="s">
        <v>67</v>
      </c>
      <c r="E538" t="s">
        <v>41</v>
      </c>
      <c r="F538" t="s">
        <v>36</v>
      </c>
      <c r="G538" t="s">
        <v>37</v>
      </c>
      <c r="H538" t="s">
        <v>38</v>
      </c>
      <c r="I538">
        <v>1</v>
      </c>
      <c r="J538">
        <v>8500</v>
      </c>
      <c r="K538">
        <v>5100</v>
      </c>
      <c r="L538">
        <v>8.1000000000000003E-2</v>
      </c>
      <c r="M538">
        <v>0</v>
      </c>
      <c r="N538">
        <v>43</v>
      </c>
      <c r="O538">
        <v>7811.5</v>
      </c>
      <c r="P538">
        <v>7811.5</v>
      </c>
      <c r="Q538">
        <v>5100</v>
      </c>
      <c r="R538">
        <v>2711.5</v>
      </c>
      <c r="S538">
        <v>34.700000000000003</v>
      </c>
      <c r="T538">
        <v>2.5000000000000001E-2</v>
      </c>
      <c r="U538">
        <v>195.29</v>
      </c>
    </row>
    <row r="539" spans="1:21" x14ac:dyDescent="0.2">
      <c r="A539" t="s">
        <v>600</v>
      </c>
      <c r="B539" t="s">
        <v>22</v>
      </c>
      <c r="C539" t="s">
        <v>81</v>
      </c>
      <c r="D539" t="s">
        <v>67</v>
      </c>
      <c r="E539" t="s">
        <v>41</v>
      </c>
      <c r="F539" t="s">
        <v>86</v>
      </c>
      <c r="G539" t="s">
        <v>87</v>
      </c>
      <c r="H539" t="s">
        <v>70</v>
      </c>
      <c r="I539">
        <v>5</v>
      </c>
      <c r="J539">
        <v>28000</v>
      </c>
      <c r="K539">
        <v>16800</v>
      </c>
      <c r="L539">
        <v>9.8000000000000004E-2</v>
      </c>
      <c r="M539">
        <v>0</v>
      </c>
      <c r="N539">
        <v>18</v>
      </c>
      <c r="O539">
        <v>25256</v>
      </c>
      <c r="P539">
        <v>126280</v>
      </c>
      <c r="Q539">
        <v>84000</v>
      </c>
      <c r="R539">
        <v>42280</v>
      </c>
      <c r="S539">
        <v>33.5</v>
      </c>
      <c r="T539">
        <v>2.5000000000000001E-2</v>
      </c>
      <c r="U539">
        <v>3157</v>
      </c>
    </row>
    <row r="540" spans="1:21" x14ac:dyDescent="0.2">
      <c r="A540" t="s">
        <v>601</v>
      </c>
      <c r="B540" t="s">
        <v>30</v>
      </c>
      <c r="C540" t="s">
        <v>23</v>
      </c>
      <c r="D540" t="s">
        <v>45</v>
      </c>
      <c r="E540" t="s">
        <v>25</v>
      </c>
      <c r="F540" t="s">
        <v>56</v>
      </c>
      <c r="G540" t="s">
        <v>57</v>
      </c>
      <c r="H540" t="s">
        <v>38</v>
      </c>
      <c r="I540">
        <v>5</v>
      </c>
      <c r="J540">
        <v>180000</v>
      </c>
      <c r="K540">
        <v>108000</v>
      </c>
      <c r="L540">
        <v>6.7000000000000004E-2</v>
      </c>
      <c r="M540">
        <v>0</v>
      </c>
      <c r="N540">
        <v>10</v>
      </c>
      <c r="O540">
        <v>167940</v>
      </c>
      <c r="P540">
        <v>839700</v>
      </c>
      <c r="Q540">
        <v>540000</v>
      </c>
      <c r="R540">
        <v>299700</v>
      </c>
      <c r="S540">
        <v>35.700000000000003</v>
      </c>
      <c r="T540">
        <v>0.06</v>
      </c>
      <c r="U540">
        <v>50382</v>
      </c>
    </row>
    <row r="541" spans="1:21" x14ac:dyDescent="0.2">
      <c r="A541" t="s">
        <v>602</v>
      </c>
      <c r="B541" t="s">
        <v>34</v>
      </c>
      <c r="C541" t="s">
        <v>44</v>
      </c>
      <c r="D541" t="s">
        <v>45</v>
      </c>
      <c r="E541" t="s">
        <v>25</v>
      </c>
      <c r="F541" t="s">
        <v>26</v>
      </c>
      <c r="G541" t="s">
        <v>27</v>
      </c>
      <c r="H541" t="s">
        <v>75</v>
      </c>
      <c r="I541">
        <v>13</v>
      </c>
      <c r="J541">
        <v>35000</v>
      </c>
      <c r="K541">
        <v>21000</v>
      </c>
      <c r="L541">
        <v>7.4999999999999997E-2</v>
      </c>
      <c r="M541">
        <v>1</v>
      </c>
      <c r="N541">
        <v>41</v>
      </c>
      <c r="O541">
        <v>32375</v>
      </c>
      <c r="P541">
        <v>420875</v>
      </c>
      <c r="Q541">
        <v>273000</v>
      </c>
      <c r="R541">
        <v>147875</v>
      </c>
      <c r="S541">
        <v>35.1</v>
      </c>
      <c r="T541">
        <v>0.06</v>
      </c>
      <c r="U541">
        <v>25252.5</v>
      </c>
    </row>
    <row r="542" spans="1:21" x14ac:dyDescent="0.2">
      <c r="A542" t="s">
        <v>603</v>
      </c>
      <c r="B542" t="s">
        <v>30</v>
      </c>
      <c r="C542" t="s">
        <v>23</v>
      </c>
      <c r="D542" t="s">
        <v>24</v>
      </c>
      <c r="E542" t="s">
        <v>25</v>
      </c>
      <c r="F542" t="s">
        <v>46</v>
      </c>
      <c r="G542" t="s">
        <v>47</v>
      </c>
      <c r="H542" t="s">
        <v>70</v>
      </c>
      <c r="I542">
        <v>14</v>
      </c>
      <c r="J542">
        <v>95000</v>
      </c>
      <c r="K542">
        <v>57000</v>
      </c>
      <c r="L542">
        <v>2.5999999999999999E-2</v>
      </c>
      <c r="M542">
        <v>1</v>
      </c>
      <c r="N542">
        <v>21</v>
      </c>
      <c r="O542">
        <v>92530</v>
      </c>
      <c r="P542">
        <v>1295420</v>
      </c>
      <c r="Q542">
        <v>798000</v>
      </c>
      <c r="R542">
        <v>497420</v>
      </c>
      <c r="S542">
        <v>38.4</v>
      </c>
      <c r="T542">
        <v>0.06</v>
      </c>
      <c r="U542">
        <v>77725.2</v>
      </c>
    </row>
    <row r="543" spans="1:21" x14ac:dyDescent="0.2">
      <c r="A543" t="s">
        <v>604</v>
      </c>
      <c r="B543" t="s">
        <v>54</v>
      </c>
      <c r="C543" t="s">
        <v>23</v>
      </c>
      <c r="D543" t="s">
        <v>45</v>
      </c>
      <c r="E543" t="s">
        <v>25</v>
      </c>
      <c r="F543" t="s">
        <v>51</v>
      </c>
      <c r="G543" t="s">
        <v>37</v>
      </c>
      <c r="H543" t="s">
        <v>52</v>
      </c>
      <c r="I543">
        <v>3</v>
      </c>
      <c r="J543">
        <v>32000</v>
      </c>
      <c r="K543">
        <v>19200</v>
      </c>
      <c r="L543">
        <v>3.7999999999999999E-2</v>
      </c>
      <c r="M543">
        <v>0</v>
      </c>
      <c r="N543">
        <v>29</v>
      </c>
      <c r="O543">
        <v>30784</v>
      </c>
      <c r="P543">
        <v>92352</v>
      </c>
      <c r="Q543">
        <v>57600</v>
      </c>
      <c r="R543">
        <v>34752</v>
      </c>
      <c r="S543">
        <v>37.6</v>
      </c>
      <c r="T543">
        <v>0.06</v>
      </c>
      <c r="U543">
        <v>5541.12</v>
      </c>
    </row>
    <row r="544" spans="1:21" x14ac:dyDescent="0.2">
      <c r="A544" t="s">
        <v>605</v>
      </c>
      <c r="B544" t="s">
        <v>54</v>
      </c>
      <c r="C544" t="s">
        <v>35</v>
      </c>
      <c r="D544" t="s">
        <v>31</v>
      </c>
      <c r="E544" t="s">
        <v>25</v>
      </c>
      <c r="F544" t="s">
        <v>51</v>
      </c>
      <c r="G544" t="s">
        <v>37</v>
      </c>
      <c r="H544" t="s">
        <v>42</v>
      </c>
      <c r="I544">
        <v>12</v>
      </c>
      <c r="J544">
        <v>32000</v>
      </c>
      <c r="K544">
        <v>19200</v>
      </c>
      <c r="L544">
        <v>9.6000000000000002E-2</v>
      </c>
      <c r="M544">
        <v>1</v>
      </c>
      <c r="N544">
        <v>12</v>
      </c>
      <c r="O544">
        <v>28928</v>
      </c>
      <c r="P544">
        <v>347136</v>
      </c>
      <c r="Q544">
        <v>230400</v>
      </c>
      <c r="R544">
        <v>116736</v>
      </c>
      <c r="S544">
        <v>33.6</v>
      </c>
      <c r="T544">
        <v>0.06</v>
      </c>
      <c r="U544">
        <v>20828.16</v>
      </c>
    </row>
    <row r="545" spans="1:21" x14ac:dyDescent="0.2">
      <c r="A545" t="s">
        <v>606</v>
      </c>
      <c r="B545" t="s">
        <v>54</v>
      </c>
      <c r="C545" t="s">
        <v>35</v>
      </c>
      <c r="D545" t="s">
        <v>45</v>
      </c>
      <c r="E545" t="s">
        <v>25</v>
      </c>
      <c r="F545" t="s">
        <v>26</v>
      </c>
      <c r="G545" t="s">
        <v>27</v>
      </c>
      <c r="H545" t="s">
        <v>75</v>
      </c>
      <c r="I545">
        <v>4</v>
      </c>
      <c r="J545">
        <v>35000</v>
      </c>
      <c r="K545">
        <v>21000</v>
      </c>
      <c r="L545">
        <v>3.7999999999999999E-2</v>
      </c>
      <c r="M545">
        <v>0</v>
      </c>
      <c r="N545">
        <v>10</v>
      </c>
      <c r="O545">
        <v>33670</v>
      </c>
      <c r="P545">
        <v>134680</v>
      </c>
      <c r="Q545">
        <v>84000</v>
      </c>
      <c r="R545">
        <v>50680</v>
      </c>
      <c r="S545">
        <v>37.6</v>
      </c>
      <c r="T545">
        <v>0.06</v>
      </c>
      <c r="U545">
        <v>8080.8</v>
      </c>
    </row>
    <row r="546" spans="1:21" x14ac:dyDescent="0.2">
      <c r="A546" t="s">
        <v>607</v>
      </c>
      <c r="B546" t="s">
        <v>30</v>
      </c>
      <c r="C546" t="s">
        <v>23</v>
      </c>
      <c r="D546" t="s">
        <v>31</v>
      </c>
      <c r="E546" t="s">
        <v>25</v>
      </c>
      <c r="F546" t="s">
        <v>46</v>
      </c>
      <c r="G546" t="s">
        <v>47</v>
      </c>
      <c r="H546" t="s">
        <v>59</v>
      </c>
      <c r="I546">
        <v>10</v>
      </c>
      <c r="J546">
        <v>95000</v>
      </c>
      <c r="K546">
        <v>57000</v>
      </c>
      <c r="L546">
        <v>7.6999999999999999E-2</v>
      </c>
      <c r="M546">
        <v>0</v>
      </c>
      <c r="N546">
        <v>4</v>
      </c>
      <c r="O546">
        <v>87685</v>
      </c>
      <c r="P546">
        <v>876850</v>
      </c>
      <c r="Q546">
        <v>570000</v>
      </c>
      <c r="R546">
        <v>306850</v>
      </c>
      <c r="S546">
        <v>35</v>
      </c>
      <c r="T546">
        <v>0.06</v>
      </c>
      <c r="U546">
        <v>52611</v>
      </c>
    </row>
    <row r="547" spans="1:21" x14ac:dyDescent="0.2">
      <c r="A547" t="s">
        <v>608</v>
      </c>
      <c r="B547" t="s">
        <v>30</v>
      </c>
      <c r="C547" t="s">
        <v>50</v>
      </c>
      <c r="D547" t="s">
        <v>31</v>
      </c>
      <c r="E547" t="s">
        <v>25</v>
      </c>
      <c r="F547" t="s">
        <v>46</v>
      </c>
      <c r="G547" t="s">
        <v>47</v>
      </c>
      <c r="H547" t="s">
        <v>42</v>
      </c>
      <c r="I547">
        <v>10</v>
      </c>
      <c r="J547">
        <v>95000</v>
      </c>
      <c r="K547">
        <v>57000</v>
      </c>
      <c r="L547">
        <v>3.5999999999999997E-2</v>
      </c>
      <c r="M547">
        <v>1</v>
      </c>
      <c r="N547">
        <v>44</v>
      </c>
      <c r="O547">
        <v>91580</v>
      </c>
      <c r="P547">
        <v>915800</v>
      </c>
      <c r="Q547">
        <v>570000</v>
      </c>
      <c r="R547">
        <v>345800</v>
      </c>
      <c r="S547">
        <v>37.799999999999997</v>
      </c>
      <c r="T547">
        <v>0.06</v>
      </c>
      <c r="U547">
        <v>54948</v>
      </c>
    </row>
    <row r="548" spans="1:21" x14ac:dyDescent="0.2">
      <c r="A548" t="s">
        <v>609</v>
      </c>
      <c r="B548" t="s">
        <v>34</v>
      </c>
      <c r="C548" t="s">
        <v>44</v>
      </c>
      <c r="D548" t="s">
        <v>55</v>
      </c>
      <c r="E548" t="s">
        <v>41</v>
      </c>
      <c r="F548" t="s">
        <v>62</v>
      </c>
      <c r="G548" t="s">
        <v>57</v>
      </c>
      <c r="H548" t="s">
        <v>59</v>
      </c>
      <c r="I548">
        <v>7</v>
      </c>
      <c r="J548">
        <v>45000</v>
      </c>
      <c r="K548">
        <v>27000</v>
      </c>
      <c r="L548">
        <v>0.12</v>
      </c>
      <c r="M548">
        <v>1</v>
      </c>
      <c r="N548">
        <v>4</v>
      </c>
      <c r="O548">
        <v>39600</v>
      </c>
      <c r="P548">
        <v>277200</v>
      </c>
      <c r="Q548">
        <v>189000</v>
      </c>
      <c r="R548">
        <v>88200</v>
      </c>
      <c r="S548">
        <v>31.8</v>
      </c>
      <c r="T548">
        <v>2.5000000000000001E-2</v>
      </c>
      <c r="U548">
        <v>6930</v>
      </c>
    </row>
    <row r="549" spans="1:21" x14ac:dyDescent="0.2">
      <c r="A549" t="s">
        <v>610</v>
      </c>
      <c r="B549" t="s">
        <v>30</v>
      </c>
      <c r="C549" t="s">
        <v>81</v>
      </c>
      <c r="D549" t="s">
        <v>67</v>
      </c>
      <c r="E549" t="s">
        <v>41</v>
      </c>
      <c r="F549" t="s">
        <v>51</v>
      </c>
      <c r="G549" t="s">
        <v>37</v>
      </c>
      <c r="H549" t="s">
        <v>52</v>
      </c>
      <c r="I549">
        <v>10</v>
      </c>
      <c r="J549">
        <v>32000</v>
      </c>
      <c r="K549">
        <v>19200</v>
      </c>
      <c r="L549">
        <v>0.13600000000000001</v>
      </c>
      <c r="M549">
        <v>1</v>
      </c>
      <c r="N549">
        <v>12</v>
      </c>
      <c r="O549">
        <v>27648</v>
      </c>
      <c r="P549">
        <v>276480</v>
      </c>
      <c r="Q549">
        <v>192000</v>
      </c>
      <c r="R549">
        <v>84480</v>
      </c>
      <c r="S549">
        <v>30.6</v>
      </c>
      <c r="T549">
        <v>2.5000000000000001E-2</v>
      </c>
      <c r="U549">
        <v>6912</v>
      </c>
    </row>
    <row r="550" spans="1:21" x14ac:dyDescent="0.2">
      <c r="A550" t="s">
        <v>611</v>
      </c>
      <c r="B550" t="s">
        <v>30</v>
      </c>
      <c r="C550" t="s">
        <v>35</v>
      </c>
      <c r="D550" t="s">
        <v>31</v>
      </c>
      <c r="E550" t="s">
        <v>25</v>
      </c>
      <c r="F550" t="s">
        <v>73</v>
      </c>
      <c r="G550" t="s">
        <v>74</v>
      </c>
      <c r="H550" t="s">
        <v>48</v>
      </c>
      <c r="I550">
        <v>5</v>
      </c>
      <c r="J550">
        <v>22000</v>
      </c>
      <c r="K550">
        <v>13200</v>
      </c>
      <c r="L550">
        <v>0.02</v>
      </c>
      <c r="M550">
        <v>0</v>
      </c>
      <c r="N550">
        <v>33</v>
      </c>
      <c r="O550">
        <v>21560</v>
      </c>
      <c r="P550">
        <v>107800</v>
      </c>
      <c r="Q550">
        <v>66000</v>
      </c>
      <c r="R550">
        <v>41800</v>
      </c>
      <c r="S550">
        <v>38.799999999999997</v>
      </c>
      <c r="T550">
        <v>0.06</v>
      </c>
      <c r="U550">
        <v>6468</v>
      </c>
    </row>
    <row r="551" spans="1:21" x14ac:dyDescent="0.2">
      <c r="A551" t="s">
        <v>612</v>
      </c>
      <c r="B551" t="s">
        <v>30</v>
      </c>
      <c r="C551" t="s">
        <v>81</v>
      </c>
      <c r="D551" t="s">
        <v>45</v>
      </c>
      <c r="E551" t="s">
        <v>25</v>
      </c>
      <c r="F551" t="s">
        <v>73</v>
      </c>
      <c r="G551" t="s">
        <v>74</v>
      </c>
      <c r="H551" t="s">
        <v>75</v>
      </c>
      <c r="I551">
        <v>10</v>
      </c>
      <c r="J551">
        <v>22000</v>
      </c>
      <c r="K551">
        <v>13200</v>
      </c>
      <c r="L551">
        <v>0.02</v>
      </c>
      <c r="M551">
        <v>1</v>
      </c>
      <c r="N551">
        <v>19</v>
      </c>
      <c r="O551">
        <v>21560</v>
      </c>
      <c r="P551">
        <v>215600</v>
      </c>
      <c r="Q551">
        <v>132000</v>
      </c>
      <c r="R551">
        <v>83600</v>
      </c>
      <c r="S551">
        <v>38.799999999999997</v>
      </c>
      <c r="T551">
        <v>0.06</v>
      </c>
      <c r="U551">
        <v>12936</v>
      </c>
    </row>
    <row r="552" spans="1:21" x14ac:dyDescent="0.2">
      <c r="A552" t="s">
        <v>613</v>
      </c>
      <c r="B552" t="s">
        <v>54</v>
      </c>
      <c r="C552" t="s">
        <v>81</v>
      </c>
      <c r="D552" t="s">
        <v>31</v>
      </c>
      <c r="E552" t="s">
        <v>25</v>
      </c>
      <c r="F552" t="s">
        <v>51</v>
      </c>
      <c r="G552" t="s">
        <v>37</v>
      </c>
      <c r="H552" t="s">
        <v>32</v>
      </c>
      <c r="I552">
        <v>7</v>
      </c>
      <c r="J552">
        <v>32000</v>
      </c>
      <c r="K552">
        <v>19200</v>
      </c>
      <c r="L552">
        <v>1.7999999999999999E-2</v>
      </c>
      <c r="M552">
        <v>1</v>
      </c>
      <c r="N552">
        <v>34</v>
      </c>
      <c r="O552">
        <v>31424</v>
      </c>
      <c r="P552">
        <v>219968</v>
      </c>
      <c r="Q552">
        <v>134400</v>
      </c>
      <c r="R552">
        <v>85568</v>
      </c>
      <c r="S552">
        <v>38.9</v>
      </c>
      <c r="T552">
        <v>0.06</v>
      </c>
      <c r="U552">
        <v>13198.08</v>
      </c>
    </row>
    <row r="553" spans="1:21" x14ac:dyDescent="0.2">
      <c r="A553" t="s">
        <v>614</v>
      </c>
      <c r="B553" t="s">
        <v>34</v>
      </c>
      <c r="C553" t="s">
        <v>35</v>
      </c>
      <c r="D553" t="s">
        <v>83</v>
      </c>
      <c r="E553" t="s">
        <v>25</v>
      </c>
      <c r="F553" t="s">
        <v>36</v>
      </c>
      <c r="G553" t="s">
        <v>37</v>
      </c>
      <c r="H553" t="s">
        <v>38</v>
      </c>
      <c r="I553">
        <v>9</v>
      </c>
      <c r="J553">
        <v>8500</v>
      </c>
      <c r="K553">
        <v>5100</v>
      </c>
      <c r="L553">
        <v>5.2999999999999999E-2</v>
      </c>
      <c r="M553">
        <v>0</v>
      </c>
      <c r="N553">
        <v>24</v>
      </c>
      <c r="O553">
        <v>8049.5</v>
      </c>
      <c r="P553">
        <v>72445.5</v>
      </c>
      <c r="Q553">
        <v>45900</v>
      </c>
      <c r="R553">
        <v>26545.5</v>
      </c>
      <c r="S553">
        <v>36.6</v>
      </c>
      <c r="T553">
        <v>0.06</v>
      </c>
      <c r="U553">
        <v>4346.7299999999996</v>
      </c>
    </row>
    <row r="554" spans="1:21" x14ac:dyDescent="0.2">
      <c r="A554" t="s">
        <v>615</v>
      </c>
      <c r="B554" t="s">
        <v>22</v>
      </c>
      <c r="C554" t="s">
        <v>44</v>
      </c>
      <c r="D554" t="s">
        <v>45</v>
      </c>
      <c r="E554" t="s">
        <v>25</v>
      </c>
      <c r="F554" t="s">
        <v>86</v>
      </c>
      <c r="G554" t="s">
        <v>87</v>
      </c>
      <c r="H554" t="s">
        <v>64</v>
      </c>
      <c r="I554">
        <v>1</v>
      </c>
      <c r="J554">
        <v>28000</v>
      </c>
      <c r="K554">
        <v>16800</v>
      </c>
      <c r="L554">
        <v>5.8000000000000003E-2</v>
      </c>
      <c r="M554">
        <v>1</v>
      </c>
      <c r="N554">
        <v>37</v>
      </c>
      <c r="O554">
        <v>26376</v>
      </c>
      <c r="P554">
        <v>26376</v>
      </c>
      <c r="Q554">
        <v>16800</v>
      </c>
      <c r="R554">
        <v>9576</v>
      </c>
      <c r="S554">
        <v>36.299999999999997</v>
      </c>
      <c r="T554">
        <v>0.06</v>
      </c>
      <c r="U554">
        <v>1582.56</v>
      </c>
    </row>
    <row r="555" spans="1:21" x14ac:dyDescent="0.2">
      <c r="A555" t="s">
        <v>616</v>
      </c>
      <c r="B555" t="s">
        <v>54</v>
      </c>
      <c r="C555" t="s">
        <v>50</v>
      </c>
      <c r="D555" t="s">
        <v>45</v>
      </c>
      <c r="E555" t="s">
        <v>25</v>
      </c>
      <c r="F555" t="s">
        <v>46</v>
      </c>
      <c r="G555" t="s">
        <v>47</v>
      </c>
      <c r="H555" t="s">
        <v>38</v>
      </c>
      <c r="I555">
        <v>11</v>
      </c>
      <c r="J555">
        <v>95000</v>
      </c>
      <c r="K555">
        <v>57000</v>
      </c>
      <c r="L555">
        <v>3.4000000000000002E-2</v>
      </c>
      <c r="M555">
        <v>1</v>
      </c>
      <c r="N555">
        <v>44</v>
      </c>
      <c r="O555">
        <v>91770</v>
      </c>
      <c r="P555">
        <v>1009470</v>
      </c>
      <c r="Q555">
        <v>627000</v>
      </c>
      <c r="R555">
        <v>382470</v>
      </c>
      <c r="S555">
        <v>37.9</v>
      </c>
      <c r="T555">
        <v>0.06</v>
      </c>
      <c r="U555">
        <v>60568.2</v>
      </c>
    </row>
    <row r="556" spans="1:21" x14ac:dyDescent="0.2">
      <c r="A556" t="s">
        <v>617</v>
      </c>
      <c r="B556" t="s">
        <v>34</v>
      </c>
      <c r="C556" t="s">
        <v>35</v>
      </c>
      <c r="D556" t="s">
        <v>55</v>
      </c>
      <c r="E556" t="s">
        <v>41</v>
      </c>
      <c r="F556" t="s">
        <v>62</v>
      </c>
      <c r="G556" t="s">
        <v>57</v>
      </c>
      <c r="H556" t="s">
        <v>70</v>
      </c>
      <c r="I556">
        <v>11</v>
      </c>
      <c r="J556">
        <v>45000</v>
      </c>
      <c r="K556">
        <v>27000</v>
      </c>
      <c r="L556">
        <v>0.14000000000000001</v>
      </c>
      <c r="M556">
        <v>1</v>
      </c>
      <c r="N556">
        <v>22</v>
      </c>
      <c r="O556">
        <v>38700</v>
      </c>
      <c r="P556">
        <v>425700</v>
      </c>
      <c r="Q556">
        <v>297000</v>
      </c>
      <c r="R556">
        <v>128700</v>
      </c>
      <c r="S556">
        <v>30.2</v>
      </c>
      <c r="T556">
        <v>2.5000000000000001E-2</v>
      </c>
      <c r="U556">
        <v>10642.5</v>
      </c>
    </row>
    <row r="557" spans="1:21" x14ac:dyDescent="0.2">
      <c r="A557" t="s">
        <v>618</v>
      </c>
      <c r="B557" t="s">
        <v>54</v>
      </c>
      <c r="C557" t="s">
        <v>23</v>
      </c>
      <c r="D557" t="s">
        <v>67</v>
      </c>
      <c r="E557" t="s">
        <v>41</v>
      </c>
      <c r="F557" t="s">
        <v>56</v>
      </c>
      <c r="G557" t="s">
        <v>57</v>
      </c>
      <c r="H557" t="s">
        <v>28</v>
      </c>
      <c r="I557">
        <v>11</v>
      </c>
      <c r="J557">
        <v>180000</v>
      </c>
      <c r="K557">
        <v>108000</v>
      </c>
      <c r="L557">
        <v>0.01</v>
      </c>
      <c r="M557">
        <v>1</v>
      </c>
      <c r="N557">
        <v>27</v>
      </c>
      <c r="O557">
        <v>178200</v>
      </c>
      <c r="P557">
        <v>1960200</v>
      </c>
      <c r="Q557">
        <v>1188000</v>
      </c>
      <c r="R557">
        <v>772200</v>
      </c>
      <c r="S557">
        <v>39.4</v>
      </c>
      <c r="T557">
        <v>2.5000000000000001E-2</v>
      </c>
      <c r="U557">
        <v>49005</v>
      </c>
    </row>
    <row r="558" spans="1:21" x14ac:dyDescent="0.2">
      <c r="A558" t="s">
        <v>619</v>
      </c>
      <c r="B558" t="s">
        <v>22</v>
      </c>
      <c r="C558" t="s">
        <v>35</v>
      </c>
      <c r="D558" t="s">
        <v>24</v>
      </c>
      <c r="E558" t="s">
        <v>25</v>
      </c>
      <c r="F558" t="s">
        <v>51</v>
      </c>
      <c r="G558" t="s">
        <v>37</v>
      </c>
      <c r="H558" t="s">
        <v>64</v>
      </c>
      <c r="I558">
        <v>12</v>
      </c>
      <c r="J558">
        <v>32000</v>
      </c>
      <c r="K558">
        <v>19200</v>
      </c>
      <c r="L558">
        <v>8.2000000000000003E-2</v>
      </c>
      <c r="M558">
        <v>1</v>
      </c>
      <c r="N558">
        <v>22</v>
      </c>
      <c r="O558">
        <v>29376</v>
      </c>
      <c r="P558">
        <v>352512</v>
      </c>
      <c r="Q558">
        <v>230400</v>
      </c>
      <c r="R558">
        <v>122112</v>
      </c>
      <c r="S558">
        <v>34.6</v>
      </c>
      <c r="T558">
        <v>0.06</v>
      </c>
      <c r="U558">
        <v>21150.720000000001</v>
      </c>
    </row>
    <row r="559" spans="1:21" x14ac:dyDescent="0.2">
      <c r="A559" t="s">
        <v>620</v>
      </c>
      <c r="B559" t="s">
        <v>54</v>
      </c>
      <c r="C559" t="s">
        <v>50</v>
      </c>
      <c r="D559" t="s">
        <v>45</v>
      </c>
      <c r="E559" t="s">
        <v>25</v>
      </c>
      <c r="F559" t="s">
        <v>26</v>
      </c>
      <c r="G559" t="s">
        <v>27</v>
      </c>
      <c r="H559" t="s">
        <v>75</v>
      </c>
      <c r="I559">
        <v>4</v>
      </c>
      <c r="J559">
        <v>35000</v>
      </c>
      <c r="K559">
        <v>21000</v>
      </c>
      <c r="L559">
        <v>4.8000000000000001E-2</v>
      </c>
      <c r="M559">
        <v>1</v>
      </c>
      <c r="N559">
        <v>32</v>
      </c>
      <c r="O559">
        <v>33320</v>
      </c>
      <c r="P559">
        <v>133280</v>
      </c>
      <c r="Q559">
        <v>84000</v>
      </c>
      <c r="R559">
        <v>49280</v>
      </c>
      <c r="S559">
        <v>37</v>
      </c>
      <c r="T559">
        <v>0.06</v>
      </c>
      <c r="U559">
        <v>7996.8</v>
      </c>
    </row>
    <row r="560" spans="1:21" x14ac:dyDescent="0.2">
      <c r="A560" t="s">
        <v>621</v>
      </c>
      <c r="B560" t="s">
        <v>30</v>
      </c>
      <c r="C560" t="s">
        <v>35</v>
      </c>
      <c r="D560" t="s">
        <v>67</v>
      </c>
      <c r="E560" t="s">
        <v>41</v>
      </c>
      <c r="F560" t="s">
        <v>86</v>
      </c>
      <c r="G560" t="s">
        <v>87</v>
      </c>
      <c r="H560" t="s">
        <v>42</v>
      </c>
      <c r="I560">
        <v>1</v>
      </c>
      <c r="J560">
        <v>28000</v>
      </c>
      <c r="K560">
        <v>16800</v>
      </c>
      <c r="L560">
        <v>0.16300000000000001</v>
      </c>
      <c r="M560">
        <v>1</v>
      </c>
      <c r="N560">
        <v>17</v>
      </c>
      <c r="O560">
        <v>23436</v>
      </c>
      <c r="P560">
        <v>23436</v>
      </c>
      <c r="Q560">
        <v>16800</v>
      </c>
      <c r="R560">
        <v>6636</v>
      </c>
      <c r="S560">
        <v>28.3</v>
      </c>
      <c r="T560">
        <v>2.5000000000000001E-2</v>
      </c>
      <c r="U560">
        <v>585.9</v>
      </c>
    </row>
    <row r="561" spans="1:21" x14ac:dyDescent="0.2">
      <c r="A561" t="s">
        <v>622</v>
      </c>
      <c r="B561" t="s">
        <v>54</v>
      </c>
      <c r="C561" t="s">
        <v>50</v>
      </c>
      <c r="D561" t="s">
        <v>31</v>
      </c>
      <c r="E561" t="s">
        <v>25</v>
      </c>
      <c r="F561" t="s">
        <v>26</v>
      </c>
      <c r="G561" t="s">
        <v>27</v>
      </c>
      <c r="H561" t="s">
        <v>28</v>
      </c>
      <c r="I561">
        <v>10</v>
      </c>
      <c r="J561">
        <v>35000</v>
      </c>
      <c r="K561">
        <v>21000</v>
      </c>
      <c r="L561">
        <v>8.6999999999999994E-2</v>
      </c>
      <c r="M561">
        <v>1</v>
      </c>
      <c r="N561">
        <v>42</v>
      </c>
      <c r="O561">
        <v>31955</v>
      </c>
      <c r="P561">
        <v>319550</v>
      </c>
      <c r="Q561">
        <v>210000</v>
      </c>
      <c r="R561">
        <v>109550</v>
      </c>
      <c r="S561">
        <v>34.299999999999997</v>
      </c>
      <c r="T561">
        <v>0.06</v>
      </c>
      <c r="U561">
        <v>19173</v>
      </c>
    </row>
    <row r="562" spans="1:21" x14ac:dyDescent="0.2">
      <c r="A562" t="s">
        <v>623</v>
      </c>
      <c r="B562" t="s">
        <v>54</v>
      </c>
      <c r="C562" t="s">
        <v>44</v>
      </c>
      <c r="D562" t="s">
        <v>55</v>
      </c>
      <c r="E562" t="s">
        <v>41</v>
      </c>
      <c r="F562" t="s">
        <v>62</v>
      </c>
      <c r="G562" t="s">
        <v>57</v>
      </c>
      <c r="H562" t="s">
        <v>59</v>
      </c>
      <c r="I562">
        <v>5</v>
      </c>
      <c r="J562">
        <v>45000</v>
      </c>
      <c r="K562">
        <v>27000</v>
      </c>
      <c r="L562">
        <v>0.03</v>
      </c>
      <c r="M562">
        <v>1</v>
      </c>
      <c r="N562">
        <v>3</v>
      </c>
      <c r="O562">
        <v>43650</v>
      </c>
      <c r="P562">
        <v>218250</v>
      </c>
      <c r="Q562">
        <v>135000</v>
      </c>
      <c r="R562">
        <v>83250</v>
      </c>
      <c r="S562">
        <v>38.1</v>
      </c>
      <c r="T562">
        <v>2.5000000000000001E-2</v>
      </c>
      <c r="U562">
        <v>5456.25</v>
      </c>
    </row>
    <row r="563" spans="1:21" x14ac:dyDescent="0.2">
      <c r="A563" t="s">
        <v>624</v>
      </c>
      <c r="B563" t="s">
        <v>54</v>
      </c>
      <c r="C563" t="s">
        <v>50</v>
      </c>
      <c r="D563" t="s">
        <v>67</v>
      </c>
      <c r="E563" t="s">
        <v>41</v>
      </c>
      <c r="F563" t="s">
        <v>26</v>
      </c>
      <c r="G563" t="s">
        <v>27</v>
      </c>
      <c r="H563" t="s">
        <v>38</v>
      </c>
      <c r="I563">
        <v>10</v>
      </c>
      <c r="J563">
        <v>35000</v>
      </c>
      <c r="K563">
        <v>21000</v>
      </c>
      <c r="L563">
        <v>0.14000000000000001</v>
      </c>
      <c r="M563">
        <v>0</v>
      </c>
      <c r="N563">
        <v>3</v>
      </c>
      <c r="O563">
        <v>30100</v>
      </c>
      <c r="P563">
        <v>301000</v>
      </c>
      <c r="Q563">
        <v>210000</v>
      </c>
      <c r="R563">
        <v>91000</v>
      </c>
      <c r="S563">
        <v>30.2</v>
      </c>
      <c r="T563">
        <v>2.5000000000000001E-2</v>
      </c>
      <c r="U563">
        <v>7525</v>
      </c>
    </row>
    <row r="564" spans="1:21" x14ac:dyDescent="0.2">
      <c r="A564" t="s">
        <v>625</v>
      </c>
      <c r="B564" t="s">
        <v>30</v>
      </c>
      <c r="C564" t="s">
        <v>44</v>
      </c>
      <c r="D564" t="s">
        <v>67</v>
      </c>
      <c r="E564" t="s">
        <v>41</v>
      </c>
      <c r="F564" t="s">
        <v>26</v>
      </c>
      <c r="G564" t="s">
        <v>27</v>
      </c>
      <c r="H564" t="s">
        <v>75</v>
      </c>
      <c r="I564">
        <v>6</v>
      </c>
      <c r="J564">
        <v>35000</v>
      </c>
      <c r="K564">
        <v>21000</v>
      </c>
      <c r="L564">
        <v>0.112</v>
      </c>
      <c r="M564">
        <v>1</v>
      </c>
      <c r="N564">
        <v>40</v>
      </c>
      <c r="O564">
        <v>31080</v>
      </c>
      <c r="P564">
        <v>186480</v>
      </c>
      <c r="Q564">
        <v>126000</v>
      </c>
      <c r="R564">
        <v>60480</v>
      </c>
      <c r="S564">
        <v>32.4</v>
      </c>
      <c r="T564">
        <v>2.5000000000000001E-2</v>
      </c>
      <c r="U564">
        <v>4662</v>
      </c>
    </row>
    <row r="565" spans="1:21" x14ac:dyDescent="0.2">
      <c r="A565" t="s">
        <v>626</v>
      </c>
      <c r="B565" t="s">
        <v>34</v>
      </c>
      <c r="C565" t="s">
        <v>35</v>
      </c>
      <c r="D565" t="s">
        <v>24</v>
      </c>
      <c r="E565" t="s">
        <v>25</v>
      </c>
      <c r="F565" t="s">
        <v>26</v>
      </c>
      <c r="G565" t="s">
        <v>27</v>
      </c>
      <c r="H565" t="s">
        <v>75</v>
      </c>
      <c r="I565">
        <v>8</v>
      </c>
      <c r="J565">
        <v>35000</v>
      </c>
      <c r="K565">
        <v>21000</v>
      </c>
      <c r="L565">
        <v>2.1000000000000001E-2</v>
      </c>
      <c r="M565">
        <v>1</v>
      </c>
      <c r="N565">
        <v>16</v>
      </c>
      <c r="O565">
        <v>34265</v>
      </c>
      <c r="P565">
        <v>274120</v>
      </c>
      <c r="Q565">
        <v>168000</v>
      </c>
      <c r="R565">
        <v>106120</v>
      </c>
      <c r="S565">
        <v>38.700000000000003</v>
      </c>
      <c r="T565">
        <v>0.06</v>
      </c>
      <c r="U565">
        <v>16447.2</v>
      </c>
    </row>
    <row r="566" spans="1:21" x14ac:dyDescent="0.2">
      <c r="A566" t="s">
        <v>627</v>
      </c>
      <c r="B566" t="s">
        <v>54</v>
      </c>
      <c r="C566" t="s">
        <v>35</v>
      </c>
      <c r="D566" t="s">
        <v>55</v>
      </c>
      <c r="E566" t="s">
        <v>41</v>
      </c>
      <c r="F566" t="s">
        <v>26</v>
      </c>
      <c r="G566" t="s">
        <v>27</v>
      </c>
      <c r="H566" t="s">
        <v>75</v>
      </c>
      <c r="I566">
        <v>14</v>
      </c>
      <c r="J566">
        <v>35000</v>
      </c>
      <c r="K566">
        <v>21000</v>
      </c>
      <c r="L566">
        <v>0.08</v>
      </c>
      <c r="M566">
        <v>1</v>
      </c>
      <c r="N566">
        <v>41</v>
      </c>
      <c r="O566">
        <v>32200</v>
      </c>
      <c r="P566">
        <v>450800</v>
      </c>
      <c r="Q566">
        <v>294000</v>
      </c>
      <c r="R566">
        <v>156800</v>
      </c>
      <c r="S566">
        <v>34.799999999999997</v>
      </c>
      <c r="T566">
        <v>2.5000000000000001E-2</v>
      </c>
      <c r="U566">
        <v>11270</v>
      </c>
    </row>
    <row r="567" spans="1:21" x14ac:dyDescent="0.2">
      <c r="A567" t="s">
        <v>628</v>
      </c>
      <c r="B567" t="s">
        <v>22</v>
      </c>
      <c r="C567" t="s">
        <v>50</v>
      </c>
      <c r="D567" t="s">
        <v>67</v>
      </c>
      <c r="E567" t="s">
        <v>41</v>
      </c>
      <c r="F567" t="s">
        <v>26</v>
      </c>
      <c r="G567" t="s">
        <v>27</v>
      </c>
      <c r="H567" t="s">
        <v>32</v>
      </c>
      <c r="I567">
        <v>8</v>
      </c>
      <c r="J567">
        <v>35000</v>
      </c>
      <c r="K567">
        <v>21000</v>
      </c>
      <c r="L567">
        <v>6.9000000000000006E-2</v>
      </c>
      <c r="M567">
        <v>1</v>
      </c>
      <c r="N567">
        <v>4</v>
      </c>
      <c r="O567">
        <v>32585</v>
      </c>
      <c r="P567">
        <v>260680</v>
      </c>
      <c r="Q567">
        <v>168000</v>
      </c>
      <c r="R567">
        <v>92680</v>
      </c>
      <c r="S567">
        <v>35.6</v>
      </c>
      <c r="T567">
        <v>2.5000000000000001E-2</v>
      </c>
      <c r="U567">
        <v>6517</v>
      </c>
    </row>
    <row r="568" spans="1:21" x14ac:dyDescent="0.2">
      <c r="A568" t="s">
        <v>629</v>
      </c>
      <c r="B568" t="s">
        <v>22</v>
      </c>
      <c r="C568" t="s">
        <v>44</v>
      </c>
      <c r="D568" t="s">
        <v>67</v>
      </c>
      <c r="E568" t="s">
        <v>41</v>
      </c>
      <c r="F568" t="s">
        <v>62</v>
      </c>
      <c r="G568" t="s">
        <v>57</v>
      </c>
      <c r="H568" t="s">
        <v>28</v>
      </c>
      <c r="I568">
        <v>7</v>
      </c>
      <c r="J568">
        <v>45000</v>
      </c>
      <c r="K568">
        <v>27000</v>
      </c>
      <c r="L568">
        <v>6.2E-2</v>
      </c>
      <c r="M568">
        <v>1</v>
      </c>
      <c r="N568">
        <v>16</v>
      </c>
      <c r="O568">
        <v>42210</v>
      </c>
      <c r="P568">
        <v>295470</v>
      </c>
      <c r="Q568">
        <v>189000</v>
      </c>
      <c r="R568">
        <v>106470</v>
      </c>
      <c r="S568">
        <v>36</v>
      </c>
      <c r="T568">
        <v>2.5000000000000001E-2</v>
      </c>
      <c r="U568">
        <v>7386.75</v>
      </c>
    </row>
    <row r="569" spans="1:21" x14ac:dyDescent="0.2">
      <c r="A569" t="s">
        <v>630</v>
      </c>
      <c r="B569" t="s">
        <v>54</v>
      </c>
      <c r="C569" t="s">
        <v>44</v>
      </c>
      <c r="D569" t="s">
        <v>67</v>
      </c>
      <c r="E569" t="s">
        <v>41</v>
      </c>
      <c r="F569" t="s">
        <v>46</v>
      </c>
      <c r="G569" t="s">
        <v>47</v>
      </c>
      <c r="H569" t="s">
        <v>64</v>
      </c>
      <c r="I569">
        <v>3</v>
      </c>
      <c r="J569">
        <v>95000</v>
      </c>
      <c r="K569">
        <v>57000</v>
      </c>
      <c r="L569">
        <v>0.13600000000000001</v>
      </c>
      <c r="M569">
        <v>1</v>
      </c>
      <c r="N569">
        <v>5</v>
      </c>
      <c r="O569">
        <v>82080</v>
      </c>
      <c r="P569">
        <v>246240</v>
      </c>
      <c r="Q569">
        <v>171000</v>
      </c>
      <c r="R569">
        <v>75240</v>
      </c>
      <c r="S569">
        <v>30.6</v>
      </c>
      <c r="T569">
        <v>2.5000000000000001E-2</v>
      </c>
      <c r="U569">
        <v>6156</v>
      </c>
    </row>
    <row r="570" spans="1:21" x14ac:dyDescent="0.2">
      <c r="A570" t="s">
        <v>631</v>
      </c>
      <c r="B570" t="s">
        <v>22</v>
      </c>
      <c r="C570" t="s">
        <v>50</v>
      </c>
      <c r="D570" t="s">
        <v>83</v>
      </c>
      <c r="E570" t="s">
        <v>25</v>
      </c>
      <c r="F570" t="s">
        <v>26</v>
      </c>
      <c r="G570" t="s">
        <v>27</v>
      </c>
      <c r="H570" t="s">
        <v>52</v>
      </c>
      <c r="I570">
        <v>12</v>
      </c>
      <c r="J570">
        <v>35000</v>
      </c>
      <c r="K570">
        <v>21000</v>
      </c>
      <c r="L570">
        <v>6.0000000000000001E-3</v>
      </c>
      <c r="M570">
        <v>1</v>
      </c>
      <c r="N570">
        <v>28</v>
      </c>
      <c r="O570">
        <v>34790</v>
      </c>
      <c r="P570">
        <v>417480</v>
      </c>
      <c r="Q570">
        <v>252000</v>
      </c>
      <c r="R570">
        <v>165480</v>
      </c>
      <c r="S570">
        <v>39.6</v>
      </c>
      <c r="T570">
        <v>0.06</v>
      </c>
      <c r="U570">
        <v>25048.799999999999</v>
      </c>
    </row>
    <row r="571" spans="1:21" x14ac:dyDescent="0.2">
      <c r="A571" t="s">
        <v>632</v>
      </c>
      <c r="B571" t="s">
        <v>30</v>
      </c>
      <c r="C571" t="s">
        <v>35</v>
      </c>
      <c r="D571" t="s">
        <v>67</v>
      </c>
      <c r="E571" t="s">
        <v>41</v>
      </c>
      <c r="F571" t="s">
        <v>51</v>
      </c>
      <c r="G571" t="s">
        <v>37</v>
      </c>
      <c r="H571" t="s">
        <v>70</v>
      </c>
      <c r="I571">
        <v>14</v>
      </c>
      <c r="J571">
        <v>32000</v>
      </c>
      <c r="K571">
        <v>19200</v>
      </c>
      <c r="L571">
        <v>0.191</v>
      </c>
      <c r="M571">
        <v>1</v>
      </c>
      <c r="N571">
        <v>12</v>
      </c>
      <c r="O571">
        <v>25888</v>
      </c>
      <c r="P571">
        <v>362432</v>
      </c>
      <c r="Q571">
        <v>268800</v>
      </c>
      <c r="R571">
        <v>93632</v>
      </c>
      <c r="S571">
        <v>25.8</v>
      </c>
      <c r="T571">
        <v>2.5000000000000001E-2</v>
      </c>
      <c r="U571">
        <v>9060.7999999999993</v>
      </c>
    </row>
    <row r="572" spans="1:21" x14ac:dyDescent="0.2">
      <c r="A572" t="s">
        <v>633</v>
      </c>
      <c r="B572" t="s">
        <v>34</v>
      </c>
      <c r="C572" t="s">
        <v>23</v>
      </c>
      <c r="D572" t="s">
        <v>83</v>
      </c>
      <c r="E572" t="s">
        <v>25</v>
      </c>
      <c r="F572" t="s">
        <v>51</v>
      </c>
      <c r="G572" t="s">
        <v>37</v>
      </c>
      <c r="H572" t="s">
        <v>42</v>
      </c>
      <c r="I572">
        <v>12</v>
      </c>
      <c r="J572">
        <v>32000</v>
      </c>
      <c r="K572">
        <v>19200</v>
      </c>
      <c r="L572">
        <v>3.2000000000000001E-2</v>
      </c>
      <c r="M572">
        <v>0</v>
      </c>
      <c r="N572">
        <v>35</v>
      </c>
      <c r="O572">
        <v>30976</v>
      </c>
      <c r="P572">
        <v>371712</v>
      </c>
      <c r="Q572">
        <v>230400</v>
      </c>
      <c r="R572">
        <v>141312</v>
      </c>
      <c r="S572">
        <v>38</v>
      </c>
      <c r="T572">
        <v>0.06</v>
      </c>
      <c r="U572">
        <v>22302.720000000001</v>
      </c>
    </row>
    <row r="573" spans="1:21" x14ac:dyDescent="0.2">
      <c r="A573" t="s">
        <v>634</v>
      </c>
      <c r="B573" t="s">
        <v>22</v>
      </c>
      <c r="C573" t="s">
        <v>50</v>
      </c>
      <c r="D573" t="s">
        <v>67</v>
      </c>
      <c r="E573" t="s">
        <v>41</v>
      </c>
      <c r="F573" t="s">
        <v>26</v>
      </c>
      <c r="G573" t="s">
        <v>27</v>
      </c>
      <c r="H573" t="s">
        <v>64</v>
      </c>
      <c r="I573">
        <v>6</v>
      </c>
      <c r="J573">
        <v>35000</v>
      </c>
      <c r="K573">
        <v>21000</v>
      </c>
      <c r="L573">
        <v>3.4000000000000002E-2</v>
      </c>
      <c r="M573">
        <v>0</v>
      </c>
      <c r="N573">
        <v>28</v>
      </c>
      <c r="O573">
        <v>33810</v>
      </c>
      <c r="P573">
        <v>202860</v>
      </c>
      <c r="Q573">
        <v>126000</v>
      </c>
      <c r="R573">
        <v>76860</v>
      </c>
      <c r="S573">
        <v>37.9</v>
      </c>
      <c r="T573">
        <v>2.5000000000000001E-2</v>
      </c>
      <c r="U573">
        <v>5071.5</v>
      </c>
    </row>
    <row r="574" spans="1:21" x14ac:dyDescent="0.2">
      <c r="A574" t="s">
        <v>635</v>
      </c>
      <c r="B574" t="s">
        <v>22</v>
      </c>
      <c r="C574" t="s">
        <v>23</v>
      </c>
      <c r="D574" t="s">
        <v>45</v>
      </c>
      <c r="E574" t="s">
        <v>25</v>
      </c>
      <c r="F574" t="s">
        <v>73</v>
      </c>
      <c r="G574" t="s">
        <v>74</v>
      </c>
      <c r="H574" t="s">
        <v>38</v>
      </c>
      <c r="I574">
        <v>6</v>
      </c>
      <c r="J574">
        <v>22000</v>
      </c>
      <c r="K574">
        <v>13200</v>
      </c>
      <c r="L574">
        <v>2E-3</v>
      </c>
      <c r="M574">
        <v>1</v>
      </c>
      <c r="N574">
        <v>19</v>
      </c>
      <c r="O574">
        <v>21956</v>
      </c>
      <c r="P574">
        <v>131736</v>
      </c>
      <c r="Q574">
        <v>79200</v>
      </c>
      <c r="R574">
        <v>52536</v>
      </c>
      <c r="S574">
        <v>39.9</v>
      </c>
      <c r="T574">
        <v>0.06</v>
      </c>
      <c r="U574">
        <v>7904.16</v>
      </c>
    </row>
    <row r="575" spans="1:21" x14ac:dyDescent="0.2">
      <c r="A575" t="s">
        <v>636</v>
      </c>
      <c r="B575" t="s">
        <v>22</v>
      </c>
      <c r="C575" t="s">
        <v>44</v>
      </c>
      <c r="D575" t="s">
        <v>40</v>
      </c>
      <c r="E575" t="s">
        <v>41</v>
      </c>
      <c r="F575" t="s">
        <v>86</v>
      </c>
      <c r="G575" t="s">
        <v>87</v>
      </c>
      <c r="H575" t="s">
        <v>42</v>
      </c>
      <c r="I575">
        <v>1</v>
      </c>
      <c r="J575">
        <v>28000</v>
      </c>
      <c r="K575">
        <v>16800</v>
      </c>
      <c r="L575">
        <v>0.17299999999999999</v>
      </c>
      <c r="M575">
        <v>1</v>
      </c>
      <c r="N575">
        <v>36</v>
      </c>
      <c r="O575">
        <v>23156</v>
      </c>
      <c r="P575">
        <v>23156</v>
      </c>
      <c r="Q575">
        <v>16800</v>
      </c>
      <c r="R575">
        <v>6356</v>
      </c>
      <c r="S575">
        <v>27.4</v>
      </c>
      <c r="T575">
        <v>2.5000000000000001E-2</v>
      </c>
      <c r="U575">
        <v>578.9</v>
      </c>
    </row>
    <row r="576" spans="1:21" x14ac:dyDescent="0.2">
      <c r="A576" t="s">
        <v>637</v>
      </c>
      <c r="B576" t="s">
        <v>54</v>
      </c>
      <c r="C576" t="s">
        <v>35</v>
      </c>
      <c r="D576" t="s">
        <v>45</v>
      </c>
      <c r="E576" t="s">
        <v>25</v>
      </c>
      <c r="F576" t="s">
        <v>73</v>
      </c>
      <c r="G576" t="s">
        <v>74</v>
      </c>
      <c r="H576" t="s">
        <v>32</v>
      </c>
      <c r="I576">
        <v>7</v>
      </c>
      <c r="J576">
        <v>22000</v>
      </c>
      <c r="K576">
        <v>13200</v>
      </c>
      <c r="L576">
        <v>8.9999999999999993E-3</v>
      </c>
      <c r="M576">
        <v>1</v>
      </c>
      <c r="N576">
        <v>13</v>
      </c>
      <c r="O576">
        <v>21802</v>
      </c>
      <c r="P576">
        <v>152614</v>
      </c>
      <c r="Q576">
        <v>92400</v>
      </c>
      <c r="R576">
        <v>60214</v>
      </c>
      <c r="S576">
        <v>39.5</v>
      </c>
      <c r="T576">
        <v>0.06</v>
      </c>
      <c r="U576">
        <v>9156.84</v>
      </c>
    </row>
    <row r="577" spans="1:21" x14ac:dyDescent="0.2">
      <c r="A577" t="s">
        <v>638</v>
      </c>
      <c r="B577" t="s">
        <v>54</v>
      </c>
      <c r="C577" t="s">
        <v>35</v>
      </c>
      <c r="D577" t="s">
        <v>31</v>
      </c>
      <c r="E577" t="s">
        <v>25</v>
      </c>
      <c r="F577" t="s">
        <v>46</v>
      </c>
      <c r="G577" t="s">
        <v>47</v>
      </c>
      <c r="H577" t="s">
        <v>38</v>
      </c>
      <c r="I577">
        <v>13</v>
      </c>
      <c r="J577">
        <v>95000</v>
      </c>
      <c r="K577">
        <v>57000</v>
      </c>
      <c r="L577">
        <v>1.4999999999999999E-2</v>
      </c>
      <c r="M577">
        <v>0</v>
      </c>
      <c r="N577">
        <v>12</v>
      </c>
      <c r="O577">
        <v>93575</v>
      </c>
      <c r="P577">
        <v>1216475</v>
      </c>
      <c r="Q577">
        <v>741000</v>
      </c>
      <c r="R577">
        <v>475475</v>
      </c>
      <c r="S577">
        <v>39.1</v>
      </c>
      <c r="T577">
        <v>0.06</v>
      </c>
      <c r="U577">
        <v>72988.5</v>
      </c>
    </row>
    <row r="578" spans="1:21" x14ac:dyDescent="0.2">
      <c r="A578" t="s">
        <v>639</v>
      </c>
      <c r="B578" t="s">
        <v>34</v>
      </c>
      <c r="C578" t="s">
        <v>23</v>
      </c>
      <c r="D578" t="s">
        <v>67</v>
      </c>
      <c r="E578" t="s">
        <v>41</v>
      </c>
      <c r="F578" t="s">
        <v>36</v>
      </c>
      <c r="G578" t="s">
        <v>37</v>
      </c>
      <c r="H578" t="s">
        <v>70</v>
      </c>
      <c r="I578">
        <v>14</v>
      </c>
      <c r="J578">
        <v>8500</v>
      </c>
      <c r="K578">
        <v>5100</v>
      </c>
      <c r="L578">
        <v>9.7000000000000003E-2</v>
      </c>
      <c r="M578">
        <v>1</v>
      </c>
      <c r="N578">
        <v>13</v>
      </c>
      <c r="O578">
        <v>7675.5</v>
      </c>
      <c r="P578">
        <v>107457</v>
      </c>
      <c r="Q578">
        <v>71400</v>
      </c>
      <c r="R578">
        <v>36057</v>
      </c>
      <c r="S578">
        <v>33.6</v>
      </c>
      <c r="T578">
        <v>2.5000000000000001E-2</v>
      </c>
      <c r="U578">
        <v>2686.42</v>
      </c>
    </row>
    <row r="579" spans="1:21" x14ac:dyDescent="0.2">
      <c r="A579" t="s">
        <v>640</v>
      </c>
      <c r="B579" t="s">
        <v>34</v>
      </c>
      <c r="C579" t="s">
        <v>35</v>
      </c>
      <c r="D579" t="s">
        <v>67</v>
      </c>
      <c r="E579" t="s">
        <v>41</v>
      </c>
      <c r="F579" t="s">
        <v>86</v>
      </c>
      <c r="G579" t="s">
        <v>87</v>
      </c>
      <c r="H579" t="s">
        <v>42</v>
      </c>
      <c r="I579">
        <v>4</v>
      </c>
      <c r="J579">
        <v>28000</v>
      </c>
      <c r="K579">
        <v>16800</v>
      </c>
      <c r="L579">
        <v>0.126</v>
      </c>
      <c r="M579">
        <v>1</v>
      </c>
      <c r="N579">
        <v>4</v>
      </c>
      <c r="O579">
        <v>24472</v>
      </c>
      <c r="P579">
        <v>97888</v>
      </c>
      <c r="Q579">
        <v>67200</v>
      </c>
      <c r="R579">
        <v>30688</v>
      </c>
      <c r="S579">
        <v>31.4</v>
      </c>
      <c r="T579">
        <v>2.5000000000000001E-2</v>
      </c>
      <c r="U579">
        <v>2447.1999999999998</v>
      </c>
    </row>
    <row r="580" spans="1:21" x14ac:dyDescent="0.2">
      <c r="A580" t="s">
        <v>641</v>
      </c>
      <c r="B580" t="s">
        <v>22</v>
      </c>
      <c r="C580" t="s">
        <v>44</v>
      </c>
      <c r="D580" t="s">
        <v>67</v>
      </c>
      <c r="E580" t="s">
        <v>41</v>
      </c>
      <c r="F580" t="s">
        <v>51</v>
      </c>
      <c r="G580" t="s">
        <v>37</v>
      </c>
      <c r="H580" t="s">
        <v>48</v>
      </c>
      <c r="I580">
        <v>2</v>
      </c>
      <c r="J580">
        <v>32000</v>
      </c>
      <c r="K580">
        <v>19200</v>
      </c>
      <c r="L580">
        <v>5.8999999999999997E-2</v>
      </c>
      <c r="M580">
        <v>1</v>
      </c>
      <c r="N580">
        <v>33</v>
      </c>
      <c r="O580">
        <v>30112</v>
      </c>
      <c r="P580">
        <v>60224</v>
      </c>
      <c r="Q580">
        <v>38400</v>
      </c>
      <c r="R580">
        <v>21824</v>
      </c>
      <c r="S580">
        <v>36.200000000000003</v>
      </c>
      <c r="T580">
        <v>2.5000000000000001E-2</v>
      </c>
      <c r="U580">
        <v>1505.6</v>
      </c>
    </row>
    <row r="581" spans="1:21" x14ac:dyDescent="0.2">
      <c r="A581" t="s">
        <v>642</v>
      </c>
      <c r="B581" t="s">
        <v>30</v>
      </c>
      <c r="C581" t="s">
        <v>35</v>
      </c>
      <c r="D581" t="s">
        <v>31</v>
      </c>
      <c r="E581" t="s">
        <v>25</v>
      </c>
      <c r="F581" t="s">
        <v>86</v>
      </c>
      <c r="G581" t="s">
        <v>87</v>
      </c>
      <c r="H581" t="s">
        <v>70</v>
      </c>
      <c r="I581">
        <v>1</v>
      </c>
      <c r="J581">
        <v>28000</v>
      </c>
      <c r="K581">
        <v>16800</v>
      </c>
      <c r="L581">
        <v>5.7000000000000002E-2</v>
      </c>
      <c r="M581">
        <v>0</v>
      </c>
      <c r="N581">
        <v>10</v>
      </c>
      <c r="O581">
        <v>26404</v>
      </c>
      <c r="P581">
        <v>26404</v>
      </c>
      <c r="Q581">
        <v>16800</v>
      </c>
      <c r="R581">
        <v>9604</v>
      </c>
      <c r="S581">
        <v>36.4</v>
      </c>
      <c r="T581">
        <v>0.06</v>
      </c>
      <c r="U581">
        <v>1584.24</v>
      </c>
    </row>
    <row r="582" spans="1:21" x14ac:dyDescent="0.2">
      <c r="A582" t="s">
        <v>643</v>
      </c>
      <c r="B582" t="s">
        <v>30</v>
      </c>
      <c r="C582" t="s">
        <v>23</v>
      </c>
      <c r="D582" t="s">
        <v>67</v>
      </c>
      <c r="E582" t="s">
        <v>41</v>
      </c>
      <c r="F582" t="s">
        <v>62</v>
      </c>
      <c r="G582" t="s">
        <v>57</v>
      </c>
      <c r="H582" t="s">
        <v>42</v>
      </c>
      <c r="I582">
        <v>3</v>
      </c>
      <c r="J582">
        <v>45000</v>
      </c>
      <c r="K582">
        <v>27000</v>
      </c>
      <c r="L582">
        <v>0.107</v>
      </c>
      <c r="M582">
        <v>0</v>
      </c>
      <c r="N582">
        <v>25</v>
      </c>
      <c r="O582">
        <v>40185</v>
      </c>
      <c r="P582">
        <v>120555</v>
      </c>
      <c r="Q582">
        <v>81000</v>
      </c>
      <c r="R582">
        <v>39555</v>
      </c>
      <c r="S582">
        <v>32.799999999999997</v>
      </c>
      <c r="T582">
        <v>2.5000000000000001E-2</v>
      </c>
      <c r="U582">
        <v>3013.88</v>
      </c>
    </row>
    <row r="583" spans="1:21" x14ac:dyDescent="0.2">
      <c r="A583" t="s">
        <v>644</v>
      </c>
      <c r="B583" t="s">
        <v>54</v>
      </c>
      <c r="C583" t="s">
        <v>35</v>
      </c>
      <c r="D583" t="s">
        <v>67</v>
      </c>
      <c r="E583" t="s">
        <v>41</v>
      </c>
      <c r="F583" t="s">
        <v>56</v>
      </c>
      <c r="G583" t="s">
        <v>57</v>
      </c>
      <c r="H583" t="s">
        <v>75</v>
      </c>
      <c r="I583">
        <v>9</v>
      </c>
      <c r="J583">
        <v>180000</v>
      </c>
      <c r="K583">
        <v>108000</v>
      </c>
      <c r="L583">
        <v>0.17399999999999999</v>
      </c>
      <c r="M583">
        <v>0</v>
      </c>
      <c r="N583">
        <v>39</v>
      </c>
      <c r="O583">
        <v>148680</v>
      </c>
      <c r="P583">
        <v>1338120</v>
      </c>
      <c r="Q583">
        <v>972000</v>
      </c>
      <c r="R583">
        <v>366120</v>
      </c>
      <c r="S583">
        <v>27.4</v>
      </c>
      <c r="T583">
        <v>2.5000000000000001E-2</v>
      </c>
      <c r="U583">
        <v>33453</v>
      </c>
    </row>
    <row r="584" spans="1:21" x14ac:dyDescent="0.2">
      <c r="A584" t="s">
        <v>645</v>
      </c>
      <c r="B584" t="s">
        <v>54</v>
      </c>
      <c r="C584" t="s">
        <v>44</v>
      </c>
      <c r="D584" t="s">
        <v>83</v>
      </c>
      <c r="E584" t="s">
        <v>25</v>
      </c>
      <c r="F584" t="s">
        <v>46</v>
      </c>
      <c r="G584" t="s">
        <v>47</v>
      </c>
      <c r="H584" t="s">
        <v>48</v>
      </c>
      <c r="I584">
        <v>10</v>
      </c>
      <c r="J584">
        <v>95000</v>
      </c>
      <c r="K584">
        <v>57000</v>
      </c>
      <c r="L584">
        <v>9.1999999999999998E-2</v>
      </c>
      <c r="M584">
        <v>1</v>
      </c>
      <c r="N584">
        <v>5</v>
      </c>
      <c r="O584">
        <v>86260</v>
      </c>
      <c r="P584">
        <v>862600</v>
      </c>
      <c r="Q584">
        <v>570000</v>
      </c>
      <c r="R584">
        <v>292600</v>
      </c>
      <c r="S584">
        <v>33.9</v>
      </c>
      <c r="T584">
        <v>0.06</v>
      </c>
      <c r="U584">
        <v>51756</v>
      </c>
    </row>
    <row r="585" spans="1:21" x14ac:dyDescent="0.2">
      <c r="A585" t="s">
        <v>646</v>
      </c>
      <c r="B585" t="s">
        <v>30</v>
      </c>
      <c r="C585" t="s">
        <v>35</v>
      </c>
      <c r="D585" t="s">
        <v>45</v>
      </c>
      <c r="E585" t="s">
        <v>25</v>
      </c>
      <c r="F585" t="s">
        <v>51</v>
      </c>
      <c r="G585" t="s">
        <v>37</v>
      </c>
      <c r="H585" t="s">
        <v>59</v>
      </c>
      <c r="I585">
        <v>10</v>
      </c>
      <c r="J585">
        <v>32000</v>
      </c>
      <c r="K585">
        <v>19200</v>
      </c>
      <c r="L585">
        <v>6.7000000000000004E-2</v>
      </c>
      <c r="M585">
        <v>1</v>
      </c>
      <c r="N585">
        <v>11</v>
      </c>
      <c r="O585">
        <v>29856</v>
      </c>
      <c r="P585">
        <v>298560</v>
      </c>
      <c r="Q585">
        <v>192000</v>
      </c>
      <c r="R585">
        <v>106560</v>
      </c>
      <c r="S585">
        <v>35.700000000000003</v>
      </c>
      <c r="T585">
        <v>0.06</v>
      </c>
      <c r="U585">
        <v>17913.599999999999</v>
      </c>
    </row>
    <row r="586" spans="1:21" x14ac:dyDescent="0.2">
      <c r="A586" t="s">
        <v>647</v>
      </c>
      <c r="B586" t="s">
        <v>22</v>
      </c>
      <c r="C586" t="s">
        <v>81</v>
      </c>
      <c r="D586" t="s">
        <v>55</v>
      </c>
      <c r="E586" t="s">
        <v>41</v>
      </c>
      <c r="F586" t="s">
        <v>36</v>
      </c>
      <c r="G586" t="s">
        <v>37</v>
      </c>
      <c r="H586" t="s">
        <v>38</v>
      </c>
      <c r="I586">
        <v>5</v>
      </c>
      <c r="J586">
        <v>8500</v>
      </c>
      <c r="K586">
        <v>5100</v>
      </c>
      <c r="L586">
        <v>1.7999999999999999E-2</v>
      </c>
      <c r="M586">
        <v>1</v>
      </c>
      <c r="N586">
        <v>6</v>
      </c>
      <c r="O586">
        <v>8347</v>
      </c>
      <c r="P586">
        <v>41735</v>
      </c>
      <c r="Q586">
        <v>25500</v>
      </c>
      <c r="R586">
        <v>16235</v>
      </c>
      <c r="S586">
        <v>38.9</v>
      </c>
      <c r="T586">
        <v>2.5000000000000001E-2</v>
      </c>
      <c r="U586">
        <v>1043.3800000000001</v>
      </c>
    </row>
    <row r="587" spans="1:21" x14ac:dyDescent="0.2">
      <c r="A587" t="s">
        <v>648</v>
      </c>
      <c r="B587" t="s">
        <v>22</v>
      </c>
      <c r="C587" t="s">
        <v>35</v>
      </c>
      <c r="D587" t="s">
        <v>45</v>
      </c>
      <c r="E587" t="s">
        <v>25</v>
      </c>
      <c r="F587" t="s">
        <v>51</v>
      </c>
      <c r="G587" t="s">
        <v>37</v>
      </c>
      <c r="H587" t="s">
        <v>48</v>
      </c>
      <c r="I587">
        <v>8</v>
      </c>
      <c r="J587">
        <v>32000</v>
      </c>
      <c r="K587">
        <v>19200</v>
      </c>
      <c r="L587">
        <v>1.6E-2</v>
      </c>
      <c r="M587">
        <v>1</v>
      </c>
      <c r="N587">
        <v>31</v>
      </c>
      <c r="O587">
        <v>31488</v>
      </c>
      <c r="P587">
        <v>251904</v>
      </c>
      <c r="Q587">
        <v>153600</v>
      </c>
      <c r="R587">
        <v>98304</v>
      </c>
      <c r="S587">
        <v>39</v>
      </c>
      <c r="T587">
        <v>0.06</v>
      </c>
      <c r="U587">
        <v>15114.24</v>
      </c>
    </row>
    <row r="588" spans="1:21" x14ac:dyDescent="0.2">
      <c r="A588" t="s">
        <v>649</v>
      </c>
      <c r="B588" t="s">
        <v>54</v>
      </c>
      <c r="C588" t="s">
        <v>50</v>
      </c>
      <c r="D588" t="s">
        <v>67</v>
      </c>
      <c r="E588" t="s">
        <v>41</v>
      </c>
      <c r="F588" t="s">
        <v>51</v>
      </c>
      <c r="G588" t="s">
        <v>37</v>
      </c>
      <c r="H588" t="s">
        <v>52</v>
      </c>
      <c r="I588">
        <v>13</v>
      </c>
      <c r="J588">
        <v>32000</v>
      </c>
      <c r="K588">
        <v>19200</v>
      </c>
      <c r="L588">
        <v>0.187</v>
      </c>
      <c r="M588">
        <v>1</v>
      </c>
      <c r="N588">
        <v>14</v>
      </c>
      <c r="O588">
        <v>26016</v>
      </c>
      <c r="P588">
        <v>338208</v>
      </c>
      <c r="Q588">
        <v>249600</v>
      </c>
      <c r="R588">
        <v>88608</v>
      </c>
      <c r="S588">
        <v>26.2</v>
      </c>
      <c r="T588">
        <v>2.5000000000000001E-2</v>
      </c>
      <c r="U588">
        <v>8455.2000000000007</v>
      </c>
    </row>
    <row r="589" spans="1:21" x14ac:dyDescent="0.2">
      <c r="A589" t="s">
        <v>650</v>
      </c>
      <c r="B589" t="s">
        <v>22</v>
      </c>
      <c r="C589" t="s">
        <v>44</v>
      </c>
      <c r="D589" t="s">
        <v>40</v>
      </c>
      <c r="E589" t="s">
        <v>41</v>
      </c>
      <c r="F589" t="s">
        <v>73</v>
      </c>
      <c r="G589" t="s">
        <v>74</v>
      </c>
      <c r="H589" t="s">
        <v>70</v>
      </c>
      <c r="I589">
        <v>10</v>
      </c>
      <c r="J589">
        <v>22000</v>
      </c>
      <c r="K589">
        <v>13200</v>
      </c>
      <c r="L589">
        <v>0.123</v>
      </c>
      <c r="M589">
        <v>1</v>
      </c>
      <c r="N589">
        <v>16</v>
      </c>
      <c r="O589">
        <v>19294</v>
      </c>
      <c r="P589">
        <v>192940</v>
      </c>
      <c r="Q589">
        <v>132000</v>
      </c>
      <c r="R589">
        <v>60940</v>
      </c>
      <c r="S589">
        <v>31.6</v>
      </c>
      <c r="T589">
        <v>2.5000000000000001E-2</v>
      </c>
      <c r="U589">
        <v>4823.5</v>
      </c>
    </row>
    <row r="590" spans="1:21" x14ac:dyDescent="0.2">
      <c r="A590" t="s">
        <v>651</v>
      </c>
      <c r="B590" t="s">
        <v>54</v>
      </c>
      <c r="C590" t="s">
        <v>35</v>
      </c>
      <c r="D590" t="s">
        <v>55</v>
      </c>
      <c r="E590" t="s">
        <v>41</v>
      </c>
      <c r="F590" t="s">
        <v>46</v>
      </c>
      <c r="G590" t="s">
        <v>47</v>
      </c>
      <c r="H590" t="s">
        <v>75</v>
      </c>
      <c r="I590">
        <v>8</v>
      </c>
      <c r="J590">
        <v>95000</v>
      </c>
      <c r="K590">
        <v>57000</v>
      </c>
      <c r="L590">
        <v>3.3000000000000002E-2</v>
      </c>
      <c r="M590">
        <v>0</v>
      </c>
      <c r="N590">
        <v>12</v>
      </c>
      <c r="O590">
        <v>91865</v>
      </c>
      <c r="P590">
        <v>734920</v>
      </c>
      <c r="Q590">
        <v>456000</v>
      </c>
      <c r="R590">
        <v>278920</v>
      </c>
      <c r="S590">
        <v>38</v>
      </c>
      <c r="T590">
        <v>2.5000000000000001E-2</v>
      </c>
      <c r="U590">
        <v>18373</v>
      </c>
    </row>
    <row r="591" spans="1:21" x14ac:dyDescent="0.2">
      <c r="A591" t="s">
        <v>652</v>
      </c>
      <c r="B591" t="s">
        <v>22</v>
      </c>
      <c r="C591" t="s">
        <v>35</v>
      </c>
      <c r="D591" t="s">
        <v>45</v>
      </c>
      <c r="E591" t="s">
        <v>25</v>
      </c>
      <c r="F591" t="s">
        <v>86</v>
      </c>
      <c r="G591" t="s">
        <v>87</v>
      </c>
      <c r="H591" t="s">
        <v>64</v>
      </c>
      <c r="I591">
        <v>3</v>
      </c>
      <c r="J591">
        <v>28000</v>
      </c>
      <c r="K591">
        <v>16800</v>
      </c>
      <c r="L591">
        <v>5.8999999999999997E-2</v>
      </c>
      <c r="M591">
        <v>1</v>
      </c>
      <c r="N591">
        <v>36</v>
      </c>
      <c r="O591">
        <v>26348</v>
      </c>
      <c r="P591">
        <v>79044</v>
      </c>
      <c r="Q591">
        <v>50400</v>
      </c>
      <c r="R591">
        <v>28644</v>
      </c>
      <c r="S591">
        <v>36.200000000000003</v>
      </c>
      <c r="T591">
        <v>0.06</v>
      </c>
      <c r="U591">
        <v>4742.6400000000003</v>
      </c>
    </row>
    <row r="592" spans="1:21" x14ac:dyDescent="0.2">
      <c r="A592" t="s">
        <v>653</v>
      </c>
      <c r="B592" t="s">
        <v>54</v>
      </c>
      <c r="C592" t="s">
        <v>44</v>
      </c>
      <c r="D592" t="s">
        <v>31</v>
      </c>
      <c r="E592" t="s">
        <v>25</v>
      </c>
      <c r="F592" t="s">
        <v>86</v>
      </c>
      <c r="G592" t="s">
        <v>87</v>
      </c>
      <c r="H592" t="s">
        <v>28</v>
      </c>
      <c r="I592">
        <v>6</v>
      </c>
      <c r="J592">
        <v>28000</v>
      </c>
      <c r="K592">
        <v>16800</v>
      </c>
      <c r="L592">
        <v>4.1000000000000002E-2</v>
      </c>
      <c r="M592">
        <v>0</v>
      </c>
      <c r="N592">
        <v>12</v>
      </c>
      <c r="O592">
        <v>26852</v>
      </c>
      <c r="P592">
        <v>161112</v>
      </c>
      <c r="Q592">
        <v>100800</v>
      </c>
      <c r="R592">
        <v>60312</v>
      </c>
      <c r="S592">
        <v>37.4</v>
      </c>
      <c r="T592">
        <v>0.06</v>
      </c>
      <c r="U592">
        <v>9666.7199999999993</v>
      </c>
    </row>
    <row r="593" spans="1:21" x14ac:dyDescent="0.2">
      <c r="A593" t="s">
        <v>654</v>
      </c>
      <c r="B593" t="s">
        <v>22</v>
      </c>
      <c r="C593" t="s">
        <v>23</v>
      </c>
      <c r="D593" t="s">
        <v>40</v>
      </c>
      <c r="E593" t="s">
        <v>41</v>
      </c>
      <c r="F593" t="s">
        <v>51</v>
      </c>
      <c r="G593" t="s">
        <v>37</v>
      </c>
      <c r="H593" t="s">
        <v>32</v>
      </c>
      <c r="I593">
        <v>14</v>
      </c>
      <c r="J593">
        <v>32000</v>
      </c>
      <c r="K593">
        <v>19200</v>
      </c>
      <c r="L593">
        <v>8.1000000000000003E-2</v>
      </c>
      <c r="M593">
        <v>1</v>
      </c>
      <c r="N593">
        <v>43</v>
      </c>
      <c r="O593">
        <v>29408</v>
      </c>
      <c r="P593">
        <v>411712</v>
      </c>
      <c r="Q593">
        <v>268800</v>
      </c>
      <c r="R593">
        <v>142912</v>
      </c>
      <c r="S593">
        <v>34.700000000000003</v>
      </c>
      <c r="T593">
        <v>2.5000000000000001E-2</v>
      </c>
      <c r="U593">
        <v>10292.799999999999</v>
      </c>
    </row>
    <row r="594" spans="1:21" x14ac:dyDescent="0.2">
      <c r="A594" t="s">
        <v>655</v>
      </c>
      <c r="B594" t="s">
        <v>34</v>
      </c>
      <c r="C594" t="s">
        <v>44</v>
      </c>
      <c r="D594" t="s">
        <v>67</v>
      </c>
      <c r="E594" t="s">
        <v>41</v>
      </c>
      <c r="F594" t="s">
        <v>62</v>
      </c>
      <c r="G594" t="s">
        <v>57</v>
      </c>
      <c r="H594" t="s">
        <v>42</v>
      </c>
      <c r="I594">
        <v>11</v>
      </c>
      <c r="J594">
        <v>45000</v>
      </c>
      <c r="K594">
        <v>27000</v>
      </c>
      <c r="L594">
        <v>0.153</v>
      </c>
      <c r="M594">
        <v>1</v>
      </c>
      <c r="N594">
        <v>34</v>
      </c>
      <c r="O594">
        <v>38115</v>
      </c>
      <c r="P594">
        <v>419265</v>
      </c>
      <c r="Q594">
        <v>297000</v>
      </c>
      <c r="R594">
        <v>122265</v>
      </c>
      <c r="S594">
        <v>29.2</v>
      </c>
      <c r="T594">
        <v>2.5000000000000001E-2</v>
      </c>
      <c r="U594">
        <v>10481.620000000001</v>
      </c>
    </row>
    <row r="595" spans="1:21" x14ac:dyDescent="0.2">
      <c r="A595" t="s">
        <v>656</v>
      </c>
      <c r="B595" t="s">
        <v>54</v>
      </c>
      <c r="C595" t="s">
        <v>44</v>
      </c>
      <c r="D595" t="s">
        <v>45</v>
      </c>
      <c r="E595" t="s">
        <v>25</v>
      </c>
      <c r="F595" t="s">
        <v>62</v>
      </c>
      <c r="G595" t="s">
        <v>57</v>
      </c>
      <c r="H595" t="s">
        <v>42</v>
      </c>
      <c r="I595">
        <v>12</v>
      </c>
      <c r="J595">
        <v>45000</v>
      </c>
      <c r="K595">
        <v>27000</v>
      </c>
      <c r="L595">
        <v>7.6999999999999999E-2</v>
      </c>
      <c r="M595">
        <v>0</v>
      </c>
      <c r="N595">
        <v>31</v>
      </c>
      <c r="O595">
        <v>41535</v>
      </c>
      <c r="P595">
        <v>498420</v>
      </c>
      <c r="Q595">
        <v>324000</v>
      </c>
      <c r="R595">
        <v>174420</v>
      </c>
      <c r="S595">
        <v>35</v>
      </c>
      <c r="T595">
        <v>0.06</v>
      </c>
      <c r="U595">
        <v>29905.200000000001</v>
      </c>
    </row>
    <row r="596" spans="1:21" x14ac:dyDescent="0.2">
      <c r="A596" t="s">
        <v>657</v>
      </c>
      <c r="B596" t="s">
        <v>22</v>
      </c>
      <c r="C596" t="s">
        <v>35</v>
      </c>
      <c r="D596" t="s">
        <v>31</v>
      </c>
      <c r="E596" t="s">
        <v>25</v>
      </c>
      <c r="F596" t="s">
        <v>36</v>
      </c>
      <c r="G596" t="s">
        <v>37</v>
      </c>
      <c r="H596" t="s">
        <v>28</v>
      </c>
      <c r="I596">
        <v>5</v>
      </c>
      <c r="J596">
        <v>8500</v>
      </c>
      <c r="K596">
        <v>5100</v>
      </c>
      <c r="L596">
        <v>3.2000000000000001E-2</v>
      </c>
      <c r="M596">
        <v>0</v>
      </c>
      <c r="N596">
        <v>6</v>
      </c>
      <c r="O596">
        <v>8228</v>
      </c>
      <c r="P596">
        <v>41140</v>
      </c>
      <c r="Q596">
        <v>25500</v>
      </c>
      <c r="R596">
        <v>15640</v>
      </c>
      <c r="S596">
        <v>38</v>
      </c>
      <c r="T596">
        <v>0.06</v>
      </c>
      <c r="U596">
        <v>2468.4</v>
      </c>
    </row>
    <row r="597" spans="1:21" x14ac:dyDescent="0.2">
      <c r="A597" t="s">
        <v>658</v>
      </c>
      <c r="B597" t="s">
        <v>30</v>
      </c>
      <c r="C597" t="s">
        <v>44</v>
      </c>
      <c r="D597" t="s">
        <v>83</v>
      </c>
      <c r="E597" t="s">
        <v>25</v>
      </c>
      <c r="F597" t="s">
        <v>36</v>
      </c>
      <c r="G597" t="s">
        <v>37</v>
      </c>
      <c r="H597" t="s">
        <v>42</v>
      </c>
      <c r="I597">
        <v>2</v>
      </c>
      <c r="J597">
        <v>8500</v>
      </c>
      <c r="K597">
        <v>5100</v>
      </c>
      <c r="L597">
        <v>7.8E-2</v>
      </c>
      <c r="M597">
        <v>1</v>
      </c>
      <c r="N597">
        <v>12</v>
      </c>
      <c r="O597">
        <v>7837</v>
      </c>
      <c r="P597">
        <v>15674</v>
      </c>
      <c r="Q597">
        <v>10200</v>
      </c>
      <c r="R597">
        <v>5474</v>
      </c>
      <c r="S597">
        <v>34.9</v>
      </c>
      <c r="T597">
        <v>0.06</v>
      </c>
      <c r="U597">
        <v>940.44</v>
      </c>
    </row>
    <row r="598" spans="1:21" x14ac:dyDescent="0.2">
      <c r="A598" t="s">
        <v>659</v>
      </c>
      <c r="B598" t="s">
        <v>54</v>
      </c>
      <c r="C598" t="s">
        <v>23</v>
      </c>
      <c r="D598" t="s">
        <v>67</v>
      </c>
      <c r="E598" t="s">
        <v>41</v>
      </c>
      <c r="F598" t="s">
        <v>51</v>
      </c>
      <c r="G598" t="s">
        <v>37</v>
      </c>
      <c r="H598" t="s">
        <v>59</v>
      </c>
      <c r="I598">
        <v>14</v>
      </c>
      <c r="J598">
        <v>32000</v>
      </c>
      <c r="K598">
        <v>19200</v>
      </c>
      <c r="L598">
        <v>0.08</v>
      </c>
      <c r="M598">
        <v>1</v>
      </c>
      <c r="N598">
        <v>19</v>
      </c>
      <c r="O598">
        <v>29440</v>
      </c>
      <c r="P598">
        <v>412160</v>
      </c>
      <c r="Q598">
        <v>268800</v>
      </c>
      <c r="R598">
        <v>143360</v>
      </c>
      <c r="S598">
        <v>34.799999999999997</v>
      </c>
      <c r="T598">
        <v>2.5000000000000001E-2</v>
      </c>
      <c r="U598">
        <v>10304</v>
      </c>
    </row>
    <row r="599" spans="1:21" x14ac:dyDescent="0.2">
      <c r="A599" t="s">
        <v>660</v>
      </c>
      <c r="B599" t="s">
        <v>30</v>
      </c>
      <c r="C599" t="s">
        <v>23</v>
      </c>
      <c r="D599" t="s">
        <v>40</v>
      </c>
      <c r="E599" t="s">
        <v>41</v>
      </c>
      <c r="F599" t="s">
        <v>26</v>
      </c>
      <c r="G599" t="s">
        <v>27</v>
      </c>
      <c r="H599" t="s">
        <v>48</v>
      </c>
      <c r="I599">
        <v>10</v>
      </c>
      <c r="J599">
        <v>35000</v>
      </c>
      <c r="K599">
        <v>21000</v>
      </c>
      <c r="L599">
        <v>0.17599999999999999</v>
      </c>
      <c r="M599">
        <v>1</v>
      </c>
      <c r="N599">
        <v>26</v>
      </c>
      <c r="O599">
        <v>28840</v>
      </c>
      <c r="P599">
        <v>288400</v>
      </c>
      <c r="Q599">
        <v>210000</v>
      </c>
      <c r="R599">
        <v>78400</v>
      </c>
      <c r="S599">
        <v>27.2</v>
      </c>
      <c r="T599">
        <v>2.5000000000000001E-2</v>
      </c>
      <c r="U599">
        <v>7210</v>
      </c>
    </row>
    <row r="600" spans="1:21" x14ac:dyDescent="0.2">
      <c r="A600" t="s">
        <v>661</v>
      </c>
      <c r="B600" t="s">
        <v>30</v>
      </c>
      <c r="C600" t="s">
        <v>50</v>
      </c>
      <c r="D600" t="s">
        <v>31</v>
      </c>
      <c r="E600" t="s">
        <v>25</v>
      </c>
      <c r="F600" t="s">
        <v>56</v>
      </c>
      <c r="G600" t="s">
        <v>57</v>
      </c>
      <c r="H600" t="s">
        <v>28</v>
      </c>
      <c r="I600">
        <v>14</v>
      </c>
      <c r="J600">
        <v>180000</v>
      </c>
      <c r="K600">
        <v>108000</v>
      </c>
      <c r="L600">
        <v>7.0000000000000007E-2</v>
      </c>
      <c r="M600">
        <v>1</v>
      </c>
      <c r="N600">
        <v>7</v>
      </c>
      <c r="O600">
        <v>167400</v>
      </c>
      <c r="P600">
        <v>2343600</v>
      </c>
      <c r="Q600">
        <v>1512000</v>
      </c>
      <c r="R600">
        <v>831600</v>
      </c>
      <c r="S600">
        <v>35.5</v>
      </c>
      <c r="T600">
        <v>0.06</v>
      </c>
      <c r="U600">
        <v>140616</v>
      </c>
    </row>
    <row r="601" spans="1:21" x14ac:dyDescent="0.2">
      <c r="A601" t="s">
        <v>662</v>
      </c>
      <c r="B601" t="s">
        <v>22</v>
      </c>
      <c r="C601" t="s">
        <v>35</v>
      </c>
      <c r="D601" t="s">
        <v>67</v>
      </c>
      <c r="E601" t="s">
        <v>41</v>
      </c>
      <c r="F601" t="s">
        <v>73</v>
      </c>
      <c r="G601" t="s">
        <v>74</v>
      </c>
      <c r="H601" t="s">
        <v>70</v>
      </c>
      <c r="I601">
        <v>4</v>
      </c>
      <c r="J601">
        <v>22000</v>
      </c>
      <c r="K601">
        <v>13200</v>
      </c>
      <c r="L601">
        <v>6.4000000000000001E-2</v>
      </c>
      <c r="M601">
        <v>0</v>
      </c>
      <c r="N601">
        <v>36</v>
      </c>
      <c r="O601">
        <v>20592</v>
      </c>
      <c r="P601">
        <v>82368</v>
      </c>
      <c r="Q601">
        <v>52800</v>
      </c>
      <c r="R601">
        <v>29568</v>
      </c>
      <c r="S601">
        <v>35.9</v>
      </c>
      <c r="T601">
        <v>2.5000000000000001E-2</v>
      </c>
      <c r="U601">
        <v>2059.1999999999998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0F48-6C43-F44B-AE3A-4EE571F7B81F}">
  <dimension ref="A2:G8"/>
  <sheetViews>
    <sheetView workbookViewId="0">
      <selection activeCell="H18" sqref="H18"/>
    </sheetView>
  </sheetViews>
  <sheetFormatPr baseColWidth="10" defaultRowHeight="15" x14ac:dyDescent="0.2"/>
  <cols>
    <col min="1" max="1" width="17" bestFit="1" customWidth="1"/>
    <col min="2" max="2" width="20.5" bestFit="1" customWidth="1"/>
    <col min="3" max="6" width="14.6640625" bestFit="1" customWidth="1"/>
    <col min="7" max="7" width="15.6640625" bestFit="1" customWidth="1"/>
  </cols>
  <sheetData>
    <row r="2" spans="1:7" x14ac:dyDescent="0.2">
      <c r="A2" s="2" t="s">
        <v>671</v>
      </c>
      <c r="B2" s="2" t="s">
        <v>674</v>
      </c>
    </row>
    <row r="3" spans="1:7" x14ac:dyDescent="0.2">
      <c r="A3" s="2" t="s">
        <v>672</v>
      </c>
      <c r="B3" t="s">
        <v>81</v>
      </c>
      <c r="C3" t="s">
        <v>35</v>
      </c>
      <c r="D3" t="s">
        <v>50</v>
      </c>
      <c r="E3" t="s">
        <v>23</v>
      </c>
      <c r="F3" t="s">
        <v>44</v>
      </c>
      <c r="G3" t="s">
        <v>673</v>
      </c>
    </row>
    <row r="4" spans="1:7" x14ac:dyDescent="0.2">
      <c r="A4" s="3" t="s">
        <v>30</v>
      </c>
      <c r="B4" s="4">
        <v>4927365</v>
      </c>
      <c r="C4" s="4">
        <v>20405198</v>
      </c>
      <c r="D4" s="4">
        <v>11802479.5</v>
      </c>
      <c r="E4" s="4">
        <v>13651109</v>
      </c>
      <c r="F4" s="4">
        <v>10347406.5</v>
      </c>
      <c r="G4" s="4">
        <v>61133558</v>
      </c>
    </row>
    <row r="5" spans="1:7" x14ac:dyDescent="0.2">
      <c r="A5" s="3" t="s">
        <v>54</v>
      </c>
      <c r="B5" s="4">
        <v>1946402.5</v>
      </c>
      <c r="C5" s="4">
        <v>20937636.5</v>
      </c>
      <c r="D5" s="4">
        <v>7861266.5</v>
      </c>
      <c r="E5" s="4">
        <v>11265390</v>
      </c>
      <c r="F5" s="4">
        <v>11883036.5</v>
      </c>
      <c r="G5" s="4">
        <v>53893732</v>
      </c>
    </row>
    <row r="6" spans="1:7" x14ac:dyDescent="0.2">
      <c r="A6" s="3" t="s">
        <v>22</v>
      </c>
      <c r="B6" s="4">
        <v>2189361</v>
      </c>
      <c r="C6" s="4">
        <v>20912837.5</v>
      </c>
      <c r="D6" s="4">
        <v>15901163.5</v>
      </c>
      <c r="E6" s="4">
        <v>7694684.5</v>
      </c>
      <c r="F6" s="4">
        <v>10063504</v>
      </c>
      <c r="G6" s="4">
        <v>56761550.5</v>
      </c>
    </row>
    <row r="7" spans="1:7" x14ac:dyDescent="0.2">
      <c r="A7" s="3" t="s">
        <v>34</v>
      </c>
      <c r="B7" s="4">
        <v>2842231.5</v>
      </c>
      <c r="C7" s="4">
        <v>14197052.5</v>
      </c>
      <c r="D7" s="4">
        <v>10003292.5</v>
      </c>
      <c r="E7" s="4">
        <v>4180128.5</v>
      </c>
      <c r="F7" s="4">
        <v>9215547</v>
      </c>
      <c r="G7" s="4">
        <v>40438252</v>
      </c>
    </row>
    <row r="8" spans="1:7" x14ac:dyDescent="0.2">
      <c r="A8" s="3" t="s">
        <v>673</v>
      </c>
      <c r="B8" s="4">
        <v>11905360</v>
      </c>
      <c r="C8" s="4">
        <v>76452724.5</v>
      </c>
      <c r="D8" s="4">
        <v>45568202</v>
      </c>
      <c r="E8" s="4">
        <v>36791312</v>
      </c>
      <c r="F8" s="4">
        <v>41509494</v>
      </c>
      <c r="G8" s="4">
        <v>212227092.5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99A5-6AE6-8B4F-9E7A-039046423933}">
  <dimension ref="A1:C17"/>
  <sheetViews>
    <sheetView zoomScale="169" workbookViewId="0">
      <selection activeCell="E18" sqref="E18"/>
    </sheetView>
  </sheetViews>
  <sheetFormatPr baseColWidth="10" defaultRowHeight="15" x14ac:dyDescent="0.2"/>
  <cols>
    <col min="1" max="1" width="18.33203125" style="5" bestFit="1" customWidth="1"/>
    <col min="2" max="2" width="20.83203125" style="5" bestFit="1" customWidth="1"/>
    <col min="3" max="3" width="10.83203125" style="5"/>
    <col min="4" max="4" width="15.83203125" style="5" bestFit="1" customWidth="1"/>
    <col min="5" max="5" width="21.83203125" style="5" bestFit="1" customWidth="1"/>
    <col min="6" max="6" width="4.1640625" style="5" bestFit="1" customWidth="1"/>
    <col min="7" max="7" width="11.1640625" style="5" bestFit="1" customWidth="1"/>
    <col min="8" max="8" width="12.1640625" style="5" bestFit="1" customWidth="1"/>
    <col min="9" max="9" width="11.1640625" style="5" bestFit="1" customWidth="1"/>
    <col min="10" max="12" width="12.1640625" style="5" bestFit="1" customWidth="1"/>
    <col min="13" max="16384" width="10.83203125" style="5"/>
  </cols>
  <sheetData>
    <row r="1" spans="1:3" ht="16" thickTop="1" x14ac:dyDescent="0.2">
      <c r="A1" s="7" t="s">
        <v>672</v>
      </c>
      <c r="B1" s="7" t="s">
        <v>676</v>
      </c>
    </row>
    <row r="2" spans="1:3" x14ac:dyDescent="0.2">
      <c r="A2" s="8" t="s">
        <v>83</v>
      </c>
      <c r="B2" s="9">
        <v>36.184999999999995</v>
      </c>
      <c r="C2" s="6"/>
    </row>
    <row r="3" spans="1:3" x14ac:dyDescent="0.2">
      <c r="A3" s="8" t="s">
        <v>45</v>
      </c>
      <c r="B3" s="9">
        <v>37.539506172839495</v>
      </c>
    </row>
    <row r="4" spans="1:3" x14ac:dyDescent="0.2">
      <c r="A4" s="8" t="s">
        <v>67</v>
      </c>
      <c r="B4" s="9">
        <v>33.201522842639605</v>
      </c>
    </row>
    <row r="5" spans="1:3" x14ac:dyDescent="0.2">
      <c r="A5" s="8" t="s">
        <v>55</v>
      </c>
      <c r="B5" s="9">
        <v>33.477419354838709</v>
      </c>
    </row>
    <row r="6" spans="1:3" x14ac:dyDescent="0.2">
      <c r="A6" s="8" t="s">
        <v>31</v>
      </c>
      <c r="B6" s="9">
        <v>37.289361702127671</v>
      </c>
    </row>
    <row r="7" spans="1:3" x14ac:dyDescent="0.2">
      <c r="A7" s="8" t="s">
        <v>40</v>
      </c>
      <c r="B7" s="9">
        <v>32.343548387096774</v>
      </c>
    </row>
    <row r="8" spans="1:3" x14ac:dyDescent="0.2">
      <c r="A8" s="8" t="s">
        <v>24</v>
      </c>
      <c r="B8" s="9">
        <v>37.533333333333324</v>
      </c>
    </row>
    <row r="9" spans="1:3" ht="16" thickBot="1" x14ac:dyDescent="0.25">
      <c r="A9" s="10" t="s">
        <v>673</v>
      </c>
      <c r="B9" s="11">
        <v>34.818833333333366</v>
      </c>
    </row>
    <row r="10" spans="1:3" ht="16" thickTop="1" x14ac:dyDescent="0.2"/>
    <row r="11" spans="1:3" ht="16" thickBot="1" x14ac:dyDescent="0.25"/>
    <row r="12" spans="1:3" ht="16" thickTop="1" x14ac:dyDescent="0.2">
      <c r="A12" s="12" t="s">
        <v>680</v>
      </c>
      <c r="B12" s="13">
        <f>REVENUE_PUBLICO</f>
        <v>116300217.5</v>
      </c>
    </row>
    <row r="13" spans="1:3" x14ac:dyDescent="0.2">
      <c r="A13" s="8" t="s">
        <v>679</v>
      </c>
      <c r="B13" s="14">
        <f>REVENUE_PRIVADO</f>
        <v>95926875</v>
      </c>
    </row>
    <row r="14" spans="1:3" x14ac:dyDescent="0.2">
      <c r="A14" s="8" t="s">
        <v>677</v>
      </c>
      <c r="B14" s="15">
        <f>COUNTIF(Datos_Completos!M2:M601,1)</f>
        <v>444</v>
      </c>
    </row>
    <row r="15" spans="1:3" x14ac:dyDescent="0.2">
      <c r="A15" s="8" t="s">
        <v>678</v>
      </c>
      <c r="B15" s="15">
        <f>COUNTIF(Datos_Completos!M2:M601,0)</f>
        <v>156</v>
      </c>
    </row>
    <row r="16" spans="1:3" ht="16" thickBot="1" x14ac:dyDescent="0.25">
      <c r="A16" s="10" t="s">
        <v>681</v>
      </c>
      <c r="B16" s="16">
        <f>B14/SUM(B14,B15)</f>
        <v>0.74</v>
      </c>
    </row>
    <row r="17" ht="16" thickTop="1" x14ac:dyDescent="0.2"/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R30" sqref="R30"/>
    </sheetView>
  </sheetViews>
  <sheetFormatPr baseColWidth="10" defaultColWidth="8.83203125" defaultRowHeight="15" x14ac:dyDescent="0.2"/>
  <cols>
    <col min="1" max="1" width="11.33203125" bestFit="1" customWidth="1"/>
    <col min="2" max="2" width="15.6640625" bestFit="1" customWidth="1"/>
    <col min="3" max="3" width="14.83203125" bestFit="1" customWidth="1"/>
    <col min="4" max="5" width="13.33203125" bestFit="1" customWidth="1"/>
  </cols>
  <sheetData>
    <row r="1" spans="1:5" ht="17" thickTop="1" thickBot="1" x14ac:dyDescent="0.25">
      <c r="A1" s="38" t="s">
        <v>4</v>
      </c>
      <c r="B1" s="39" t="s">
        <v>663</v>
      </c>
      <c r="C1" s="39" t="s">
        <v>664</v>
      </c>
      <c r="D1" s="39" t="s">
        <v>665</v>
      </c>
      <c r="E1" s="40" t="s">
        <v>666</v>
      </c>
    </row>
    <row r="2" spans="1:5" ht="16" thickTop="1" x14ac:dyDescent="0.2">
      <c r="A2" s="35" t="s">
        <v>41</v>
      </c>
      <c r="B2" s="43">
        <v>116300217.5</v>
      </c>
      <c r="C2" s="36">
        <v>352</v>
      </c>
      <c r="D2" s="36">
        <v>33.119999999999997</v>
      </c>
      <c r="E2" s="37">
        <v>2913617.95</v>
      </c>
    </row>
    <row r="3" spans="1:5" ht="16" thickBot="1" x14ac:dyDescent="0.25">
      <c r="A3" s="21" t="s">
        <v>25</v>
      </c>
      <c r="B3" s="42">
        <v>95926875</v>
      </c>
      <c r="C3" s="22">
        <v>248</v>
      </c>
      <c r="D3" s="22">
        <v>37.229999999999997</v>
      </c>
      <c r="E3" s="34">
        <v>5755612.5</v>
      </c>
    </row>
    <row r="4" spans="1:5" ht="16" thickTop="1" x14ac:dyDescent="0.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Q31" sqref="Q31"/>
    </sheetView>
  </sheetViews>
  <sheetFormatPr baseColWidth="10" defaultColWidth="8.83203125" defaultRowHeight="15" x14ac:dyDescent="0.2"/>
  <cols>
    <col min="1" max="1" width="14.1640625" bestFit="1" customWidth="1"/>
    <col min="2" max="2" width="16.83203125" bestFit="1" customWidth="1"/>
    <col min="3" max="3" width="9.5" bestFit="1" customWidth="1"/>
    <col min="4" max="4" width="12.83203125" bestFit="1" customWidth="1"/>
    <col min="5" max="5" width="13.33203125" bestFit="1" customWidth="1"/>
    <col min="6" max="6" width="10.6640625" bestFit="1" customWidth="1"/>
  </cols>
  <sheetData>
    <row r="1" spans="1:6" ht="17" thickTop="1" thickBot="1" x14ac:dyDescent="0.25">
      <c r="A1" s="38" t="s">
        <v>6</v>
      </c>
      <c r="B1" s="39" t="s">
        <v>5</v>
      </c>
      <c r="C1" s="39" t="s">
        <v>667</v>
      </c>
      <c r="D1" s="39" t="s">
        <v>663</v>
      </c>
      <c r="E1" s="39" t="s">
        <v>665</v>
      </c>
      <c r="F1" s="40" t="s">
        <v>668</v>
      </c>
    </row>
    <row r="2" spans="1:6" ht="16" thickTop="1" x14ac:dyDescent="0.2">
      <c r="A2" s="35" t="s">
        <v>57</v>
      </c>
      <c r="B2" s="36" t="s">
        <v>56</v>
      </c>
      <c r="C2" s="36">
        <v>63</v>
      </c>
      <c r="D2" s="36">
        <v>73966500</v>
      </c>
      <c r="E2" s="36">
        <v>35.11</v>
      </c>
      <c r="F2" s="37">
        <v>1</v>
      </c>
    </row>
    <row r="3" spans="1:6" x14ac:dyDescent="0.2">
      <c r="A3" s="18" t="s">
        <v>74</v>
      </c>
      <c r="B3" s="19" t="s">
        <v>73</v>
      </c>
      <c r="C3" s="19">
        <v>79</v>
      </c>
      <c r="D3" s="19">
        <v>11432718</v>
      </c>
      <c r="E3" s="19">
        <v>35.090000000000003</v>
      </c>
      <c r="F3" s="33">
        <v>2</v>
      </c>
    </row>
    <row r="4" spans="1:6" x14ac:dyDescent="0.2">
      <c r="A4" s="18" t="s">
        <v>47</v>
      </c>
      <c r="B4" s="19" t="s">
        <v>46</v>
      </c>
      <c r="C4" s="19">
        <v>73</v>
      </c>
      <c r="D4" s="19">
        <v>45982090</v>
      </c>
      <c r="E4" s="19">
        <v>35.06</v>
      </c>
      <c r="F4" s="33">
        <v>3</v>
      </c>
    </row>
    <row r="5" spans="1:6" x14ac:dyDescent="0.2">
      <c r="A5" s="18" t="s">
        <v>37</v>
      </c>
      <c r="B5" s="19" t="s">
        <v>36</v>
      </c>
      <c r="C5" s="19">
        <v>78</v>
      </c>
      <c r="D5" s="19">
        <v>4515242.5</v>
      </c>
      <c r="E5" s="19">
        <v>35.049999999999997</v>
      </c>
      <c r="F5" s="33">
        <v>4</v>
      </c>
    </row>
    <row r="6" spans="1:6" x14ac:dyDescent="0.2">
      <c r="A6" s="18" t="s">
        <v>27</v>
      </c>
      <c r="B6" s="19" t="s">
        <v>26</v>
      </c>
      <c r="C6" s="19">
        <v>77</v>
      </c>
      <c r="D6" s="19">
        <v>17659320</v>
      </c>
      <c r="E6" s="19">
        <v>34.79</v>
      </c>
      <c r="F6" s="33">
        <v>5</v>
      </c>
    </row>
    <row r="7" spans="1:6" x14ac:dyDescent="0.2">
      <c r="A7" s="18" t="s">
        <v>57</v>
      </c>
      <c r="B7" s="19" t="s">
        <v>62</v>
      </c>
      <c r="C7" s="19">
        <v>84</v>
      </c>
      <c r="D7" s="19">
        <v>26412750</v>
      </c>
      <c r="E7" s="19">
        <v>34.71</v>
      </c>
      <c r="F7" s="33">
        <v>6</v>
      </c>
    </row>
    <row r="8" spans="1:6" x14ac:dyDescent="0.2">
      <c r="A8" s="18" t="s">
        <v>87</v>
      </c>
      <c r="B8" s="19" t="s">
        <v>86</v>
      </c>
      <c r="C8" s="19">
        <v>76</v>
      </c>
      <c r="D8" s="19">
        <v>14698152</v>
      </c>
      <c r="E8" s="19">
        <v>34.4</v>
      </c>
      <c r="F8" s="33">
        <v>7</v>
      </c>
    </row>
    <row r="9" spans="1:6" ht="16" thickBot="1" x14ac:dyDescent="0.25">
      <c r="A9" s="21" t="s">
        <v>37</v>
      </c>
      <c r="B9" s="22" t="s">
        <v>51</v>
      </c>
      <c r="C9" s="22">
        <v>70</v>
      </c>
      <c r="D9" s="22">
        <v>17560320</v>
      </c>
      <c r="E9" s="22">
        <v>34.36</v>
      </c>
      <c r="F9" s="34">
        <v>8</v>
      </c>
    </row>
    <row r="10" spans="1:6" ht="16" thickTop="1" x14ac:dyDescent="0.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R28" sqref="R28"/>
    </sheetView>
  </sheetViews>
  <sheetFormatPr baseColWidth="10" defaultColWidth="8.83203125" defaultRowHeight="15" x14ac:dyDescent="0.2"/>
  <cols>
    <col min="1" max="1" width="12.33203125" bestFit="1" customWidth="1"/>
    <col min="2" max="2" width="8.5" bestFit="1" customWidth="1"/>
    <col min="3" max="3" width="10.5" bestFit="1" customWidth="1"/>
    <col min="4" max="4" width="12.83203125" bestFit="1" customWidth="1"/>
    <col min="5" max="5" width="13.33203125" bestFit="1" customWidth="1"/>
    <col min="6" max="6" width="14.5" bestFit="1" customWidth="1"/>
    <col min="7" max="7" width="9.5" bestFit="1" customWidth="1"/>
  </cols>
  <sheetData>
    <row r="1" spans="1:7" ht="17" thickTop="1" thickBot="1" x14ac:dyDescent="0.25">
      <c r="A1" s="38" t="s">
        <v>7</v>
      </c>
      <c r="B1" s="39" t="s">
        <v>1</v>
      </c>
      <c r="C1" s="39" t="s">
        <v>669</v>
      </c>
      <c r="D1" s="39" t="s">
        <v>663</v>
      </c>
      <c r="E1" s="39" t="s">
        <v>666</v>
      </c>
      <c r="F1" s="39" t="s">
        <v>670</v>
      </c>
      <c r="G1" s="40" t="s">
        <v>675</v>
      </c>
    </row>
    <row r="2" spans="1:7" ht="16" thickTop="1" x14ac:dyDescent="0.2">
      <c r="A2" s="35" t="s">
        <v>28</v>
      </c>
      <c r="B2" s="36" t="s">
        <v>30</v>
      </c>
      <c r="C2" s="36">
        <v>17</v>
      </c>
      <c r="D2" s="36">
        <v>9262473</v>
      </c>
      <c r="E2" s="43">
        <v>473336.09</v>
      </c>
      <c r="F2" s="36">
        <v>1</v>
      </c>
      <c r="G2" s="37" t="str">
        <f>IF(F2&lt;=3,"Top",IF(F2&lt;=6,"Mid",IF(F2&lt;=10,"Low")))</f>
        <v>Top</v>
      </c>
    </row>
    <row r="3" spans="1:7" x14ac:dyDescent="0.2">
      <c r="A3" s="18" t="s">
        <v>52</v>
      </c>
      <c r="B3" s="19" t="s">
        <v>30</v>
      </c>
      <c r="C3" s="19">
        <v>21</v>
      </c>
      <c r="D3" s="19">
        <v>9297331.5</v>
      </c>
      <c r="E3" s="41">
        <v>419549.29</v>
      </c>
      <c r="F3" s="19">
        <v>2</v>
      </c>
      <c r="G3" s="33" t="str">
        <f t="shared" ref="G3:G11" si="0">IF(F3&lt;=3,"Top",IF(F3&lt;=6,"Mid",IF(F3&lt;=10,"Low")))</f>
        <v>Top</v>
      </c>
    </row>
    <row r="4" spans="1:7" x14ac:dyDescent="0.2">
      <c r="A4" s="18" t="s">
        <v>59</v>
      </c>
      <c r="B4" s="19" t="s">
        <v>30</v>
      </c>
      <c r="C4" s="19">
        <v>18</v>
      </c>
      <c r="D4" s="19">
        <v>6506256</v>
      </c>
      <c r="E4" s="41">
        <v>362264.62</v>
      </c>
      <c r="F4" s="19">
        <v>3</v>
      </c>
      <c r="G4" s="33" t="str">
        <f t="shared" si="0"/>
        <v>Top</v>
      </c>
    </row>
    <row r="5" spans="1:7" x14ac:dyDescent="0.2">
      <c r="A5" s="18" t="s">
        <v>70</v>
      </c>
      <c r="B5" s="19" t="s">
        <v>30</v>
      </c>
      <c r="C5" s="19">
        <v>19</v>
      </c>
      <c r="D5" s="19">
        <v>8521989</v>
      </c>
      <c r="E5" s="41">
        <v>345212.49</v>
      </c>
      <c r="F5" s="19">
        <v>4</v>
      </c>
      <c r="G5" s="33" t="str">
        <f t="shared" si="0"/>
        <v>Mid</v>
      </c>
    </row>
    <row r="6" spans="1:7" x14ac:dyDescent="0.2">
      <c r="A6" s="18" t="s">
        <v>48</v>
      </c>
      <c r="B6" s="19" t="s">
        <v>30</v>
      </c>
      <c r="C6" s="19">
        <v>21</v>
      </c>
      <c r="D6" s="19">
        <v>5183461.5</v>
      </c>
      <c r="E6" s="41">
        <v>241651.18</v>
      </c>
      <c r="F6" s="19">
        <v>5</v>
      </c>
      <c r="G6" s="33" t="str">
        <f t="shared" si="0"/>
        <v>Mid</v>
      </c>
    </row>
    <row r="7" spans="1:7" x14ac:dyDescent="0.2">
      <c r="A7" s="18" t="s">
        <v>75</v>
      </c>
      <c r="B7" s="19" t="s">
        <v>30</v>
      </c>
      <c r="C7" s="19">
        <v>18</v>
      </c>
      <c r="D7" s="19">
        <v>5461694.5</v>
      </c>
      <c r="E7" s="41">
        <v>208971.51999999999</v>
      </c>
      <c r="F7" s="19">
        <v>6</v>
      </c>
      <c r="G7" s="33" t="str">
        <f t="shared" si="0"/>
        <v>Mid</v>
      </c>
    </row>
    <row r="8" spans="1:7" x14ac:dyDescent="0.2">
      <c r="A8" s="18" t="s">
        <v>38</v>
      </c>
      <c r="B8" s="19" t="s">
        <v>30</v>
      </c>
      <c r="C8" s="19">
        <v>13</v>
      </c>
      <c r="D8" s="19">
        <v>4352745</v>
      </c>
      <c r="E8" s="41">
        <v>197630.81</v>
      </c>
      <c r="F8" s="19">
        <v>7</v>
      </c>
      <c r="G8" s="33" t="str">
        <f t="shared" si="0"/>
        <v>Low</v>
      </c>
    </row>
    <row r="9" spans="1:7" x14ac:dyDescent="0.2">
      <c r="A9" s="18" t="s">
        <v>32</v>
      </c>
      <c r="B9" s="19" t="s">
        <v>30</v>
      </c>
      <c r="C9" s="19">
        <v>12</v>
      </c>
      <c r="D9" s="19">
        <v>3954110</v>
      </c>
      <c r="E9" s="41">
        <v>185262.96</v>
      </c>
      <c r="F9" s="19">
        <v>8</v>
      </c>
      <c r="G9" s="33" t="str">
        <f t="shared" si="0"/>
        <v>Low</v>
      </c>
    </row>
    <row r="10" spans="1:7" x14ac:dyDescent="0.2">
      <c r="A10" s="18" t="s">
        <v>42</v>
      </c>
      <c r="B10" s="19" t="s">
        <v>30</v>
      </c>
      <c r="C10" s="19">
        <v>18</v>
      </c>
      <c r="D10" s="19">
        <v>3819620.5</v>
      </c>
      <c r="E10" s="41">
        <v>150273.42000000001</v>
      </c>
      <c r="F10" s="19">
        <v>9</v>
      </c>
      <c r="G10" s="33" t="str">
        <f t="shared" si="0"/>
        <v>Low</v>
      </c>
    </row>
    <row r="11" spans="1:7" ht="16" thickBot="1" x14ac:dyDescent="0.25">
      <c r="A11" s="21" t="s">
        <v>64</v>
      </c>
      <c r="B11" s="22" t="s">
        <v>30</v>
      </c>
      <c r="C11" s="22">
        <v>16</v>
      </c>
      <c r="D11" s="22">
        <v>4773877</v>
      </c>
      <c r="E11" s="42">
        <v>149692.35999999999</v>
      </c>
      <c r="F11" s="22">
        <v>10</v>
      </c>
      <c r="G11" s="34" t="str">
        <f t="shared" si="0"/>
        <v>Low</v>
      </c>
    </row>
    <row r="12" spans="1:7" ht="16" thickTop="1" x14ac:dyDescent="0.2"/>
  </sheetData>
  <conditionalFormatting sqref="F2:F11">
    <cfRule type="iconSet" priority="1">
      <iconSet iconSet="3Arrows" reverse="1">
        <cfvo type="percent" val="0"/>
        <cfvo type="num" val="4"/>
        <cfvo type="num" val="7"/>
      </iconSet>
    </cfRule>
  </conditionalFormatting>
  <conditionalFormatting sqref="G2:G11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H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I3">
    <cfRule type="iconSet" priority="4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P30" sqref="P30"/>
    </sheetView>
  </sheetViews>
  <sheetFormatPr baseColWidth="10" defaultColWidth="8.83203125" defaultRowHeight="15" x14ac:dyDescent="0.2"/>
  <cols>
    <col min="1" max="1" width="15" bestFit="1" customWidth="1"/>
    <col min="2" max="2" width="11.33203125" bestFit="1" customWidth="1"/>
    <col min="3" max="3" width="13.33203125" bestFit="1" customWidth="1"/>
    <col min="4" max="4" width="10.5" bestFit="1" customWidth="1"/>
    <col min="5" max="5" width="14.6640625" bestFit="1" customWidth="1"/>
  </cols>
  <sheetData>
    <row r="1" spans="1:5" ht="17" thickTop="1" thickBot="1" x14ac:dyDescent="0.25">
      <c r="A1" s="17" t="s">
        <v>3</v>
      </c>
      <c r="B1" s="26" t="s">
        <v>4</v>
      </c>
      <c r="C1" s="26" t="s">
        <v>12</v>
      </c>
      <c r="D1" s="26" t="s">
        <v>669</v>
      </c>
      <c r="E1" s="27" t="s">
        <v>663</v>
      </c>
    </row>
    <row r="2" spans="1:5" ht="16" thickTop="1" x14ac:dyDescent="0.2">
      <c r="A2" s="24" t="s">
        <v>67</v>
      </c>
      <c r="B2" s="28" t="s">
        <v>41</v>
      </c>
      <c r="C2" s="29">
        <v>0</v>
      </c>
      <c r="D2" s="29">
        <v>42</v>
      </c>
      <c r="E2" s="30">
        <v>13676538</v>
      </c>
    </row>
    <row r="3" spans="1:5" x14ac:dyDescent="0.2">
      <c r="A3" s="24" t="s">
        <v>55</v>
      </c>
      <c r="B3" s="18" t="s">
        <v>41</v>
      </c>
      <c r="C3" s="19">
        <v>0</v>
      </c>
      <c r="D3" s="19">
        <v>28</v>
      </c>
      <c r="E3" s="20">
        <v>13667541</v>
      </c>
    </row>
    <row r="4" spans="1:5" x14ac:dyDescent="0.2">
      <c r="A4" s="24" t="s">
        <v>45</v>
      </c>
      <c r="B4" s="18" t="s">
        <v>25</v>
      </c>
      <c r="C4" s="19">
        <v>0</v>
      </c>
      <c r="D4" s="19">
        <v>22</v>
      </c>
      <c r="E4" s="20">
        <v>8454297.5</v>
      </c>
    </row>
    <row r="5" spans="1:5" x14ac:dyDescent="0.2">
      <c r="A5" s="24" t="s">
        <v>31</v>
      </c>
      <c r="B5" s="18" t="s">
        <v>25</v>
      </c>
      <c r="C5" s="19">
        <v>0</v>
      </c>
      <c r="D5" s="19">
        <v>23</v>
      </c>
      <c r="E5" s="20">
        <v>6499098</v>
      </c>
    </row>
    <row r="6" spans="1:5" x14ac:dyDescent="0.2">
      <c r="A6" s="24" t="s">
        <v>40</v>
      </c>
      <c r="B6" s="18" t="s">
        <v>41</v>
      </c>
      <c r="C6" s="19">
        <v>0</v>
      </c>
      <c r="D6" s="19">
        <v>17</v>
      </c>
      <c r="E6" s="20">
        <v>5653196.5</v>
      </c>
    </row>
    <row r="7" spans="1:5" x14ac:dyDescent="0.2">
      <c r="A7" s="24" t="s">
        <v>24</v>
      </c>
      <c r="B7" s="18" t="s">
        <v>25</v>
      </c>
      <c r="C7" s="19">
        <v>0</v>
      </c>
      <c r="D7" s="19">
        <v>12</v>
      </c>
      <c r="E7" s="20">
        <v>3423415</v>
      </c>
    </row>
    <row r="8" spans="1:5" ht="16" thickBot="1" x14ac:dyDescent="0.25">
      <c r="A8" s="25" t="s">
        <v>83</v>
      </c>
      <c r="B8" s="21" t="s">
        <v>25</v>
      </c>
      <c r="C8" s="22">
        <v>0</v>
      </c>
      <c r="D8" s="22">
        <v>12</v>
      </c>
      <c r="E8" s="23">
        <v>2891093</v>
      </c>
    </row>
    <row r="9" spans="1:5" ht="16" thickTop="1" x14ac:dyDescent="0.2">
      <c r="C9" s="32" t="s">
        <v>682</v>
      </c>
      <c r="D9" s="28">
        <f>SUM(D2:D8)</f>
        <v>156</v>
      </c>
      <c r="E9" s="31">
        <f>SUM(E2:E8)</f>
        <v>54265179</v>
      </c>
    </row>
    <row r="10" spans="1:5" x14ac:dyDescent="0.2">
      <c r="C10" s="24" t="s">
        <v>41</v>
      </c>
      <c r="D10" s="18">
        <f>SUMIF($B$2:$B$8,C10,$D$2:$D$8)</f>
        <v>87</v>
      </c>
      <c r="E10" s="20">
        <f>SUMIF($B$2:$B$8,C10,$E$2:$E$8)</f>
        <v>32997275.5</v>
      </c>
    </row>
    <row r="11" spans="1:5" ht="16" thickBot="1" x14ac:dyDescent="0.25">
      <c r="C11" s="25" t="s">
        <v>25</v>
      </c>
      <c r="D11" s="21">
        <f>SUMIF($B$2:$B$8,C11,$D$2:$D$8)</f>
        <v>69</v>
      </c>
      <c r="E11" s="23">
        <f>SUMIF($B$2:$B$8,C11,$E$2:$E$8)</f>
        <v>21267903.5</v>
      </c>
    </row>
    <row r="12" spans="1:5" ht="16" thickTop="1" x14ac:dyDescent="0.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"/>
  <sheetViews>
    <sheetView workbookViewId="0">
      <selection activeCell="P27" sqref="P27"/>
    </sheetView>
  </sheetViews>
  <sheetFormatPr baseColWidth="10" defaultColWidth="8.83203125" defaultRowHeight="15" x14ac:dyDescent="0.2"/>
  <cols>
    <col min="1" max="1" width="10.1640625" bestFit="1" customWidth="1"/>
    <col min="2" max="2" width="8.5" bestFit="1" customWidth="1"/>
    <col min="3" max="3" width="10.5" bestFit="1" customWidth="1"/>
    <col min="4" max="4" width="12.83203125" bestFit="1" customWidth="1"/>
    <col min="5" max="5" width="13.33203125" bestFit="1" customWidth="1"/>
  </cols>
  <sheetData>
    <row r="1" spans="1:5" ht="17" thickTop="1" thickBot="1" x14ac:dyDescent="0.25">
      <c r="A1" s="38" t="s">
        <v>2</v>
      </c>
      <c r="B1" s="39" t="s">
        <v>1</v>
      </c>
      <c r="C1" s="39" t="s">
        <v>669</v>
      </c>
      <c r="D1" s="39" t="s">
        <v>663</v>
      </c>
      <c r="E1" s="40" t="s">
        <v>665</v>
      </c>
    </row>
    <row r="2" spans="1:5" ht="16" thickTop="1" x14ac:dyDescent="0.2">
      <c r="A2" s="35" t="s">
        <v>81</v>
      </c>
      <c r="B2" s="36" t="s">
        <v>30</v>
      </c>
      <c r="C2" s="36">
        <v>15</v>
      </c>
      <c r="D2" s="36">
        <v>4927365</v>
      </c>
      <c r="E2" s="37">
        <v>35.07</v>
      </c>
    </row>
    <row r="3" spans="1:5" x14ac:dyDescent="0.2">
      <c r="A3" s="18" t="s">
        <v>81</v>
      </c>
      <c r="B3" s="19" t="s">
        <v>54</v>
      </c>
      <c r="C3" s="19">
        <v>10</v>
      </c>
      <c r="D3" s="19">
        <v>1946402.5</v>
      </c>
      <c r="E3" s="33">
        <v>34.32</v>
      </c>
    </row>
    <row r="4" spans="1:5" x14ac:dyDescent="0.2">
      <c r="A4" s="18" t="s">
        <v>81</v>
      </c>
      <c r="B4" s="19" t="s">
        <v>22</v>
      </c>
      <c r="C4" s="19">
        <v>10</v>
      </c>
      <c r="D4" s="19">
        <v>2189361</v>
      </c>
      <c r="E4" s="33">
        <v>35.450000000000003</v>
      </c>
    </row>
    <row r="5" spans="1:5" x14ac:dyDescent="0.2">
      <c r="A5" s="18" t="s">
        <v>81</v>
      </c>
      <c r="B5" s="19" t="s">
        <v>34</v>
      </c>
      <c r="C5" s="19">
        <v>10</v>
      </c>
      <c r="D5" s="19">
        <v>2842231.5</v>
      </c>
      <c r="E5" s="33">
        <v>36.4</v>
      </c>
    </row>
    <row r="6" spans="1:5" x14ac:dyDescent="0.2">
      <c r="A6" s="18" t="s">
        <v>35</v>
      </c>
      <c r="B6" s="19" t="s">
        <v>30</v>
      </c>
      <c r="C6" s="19">
        <v>64</v>
      </c>
      <c r="D6" s="19">
        <v>20405198</v>
      </c>
      <c r="E6" s="33">
        <v>34.5</v>
      </c>
    </row>
    <row r="7" spans="1:5" x14ac:dyDescent="0.2">
      <c r="A7" s="18" t="s">
        <v>35</v>
      </c>
      <c r="B7" s="19" t="s">
        <v>54</v>
      </c>
      <c r="C7" s="19">
        <v>46</v>
      </c>
      <c r="D7" s="19">
        <v>20937636.5</v>
      </c>
      <c r="E7" s="33">
        <v>34.840000000000003</v>
      </c>
    </row>
    <row r="8" spans="1:5" x14ac:dyDescent="0.2">
      <c r="A8" s="18" t="s">
        <v>35</v>
      </c>
      <c r="B8" s="19" t="s">
        <v>22</v>
      </c>
      <c r="C8" s="19">
        <v>58</v>
      </c>
      <c r="D8" s="19">
        <v>20912837.5</v>
      </c>
      <c r="E8" s="33">
        <v>34.53</v>
      </c>
    </row>
    <row r="9" spans="1:5" x14ac:dyDescent="0.2">
      <c r="A9" s="18" t="s">
        <v>35</v>
      </c>
      <c r="B9" s="19" t="s">
        <v>34</v>
      </c>
      <c r="C9" s="19">
        <v>43</v>
      </c>
      <c r="D9" s="19">
        <v>14197052.5</v>
      </c>
      <c r="E9" s="33">
        <v>34.520000000000003</v>
      </c>
    </row>
    <row r="10" spans="1:5" x14ac:dyDescent="0.2">
      <c r="A10" s="18" t="s">
        <v>50</v>
      </c>
      <c r="B10" s="19" t="s">
        <v>30</v>
      </c>
      <c r="C10" s="19">
        <v>39</v>
      </c>
      <c r="D10" s="19">
        <v>11802479.5</v>
      </c>
      <c r="E10" s="33">
        <v>35.770000000000003</v>
      </c>
    </row>
    <row r="11" spans="1:5" x14ac:dyDescent="0.2">
      <c r="A11" s="18" t="s">
        <v>50</v>
      </c>
      <c r="B11" s="19" t="s">
        <v>54</v>
      </c>
      <c r="C11" s="19">
        <v>31</v>
      </c>
      <c r="D11" s="19">
        <v>7861266.5</v>
      </c>
      <c r="E11" s="33">
        <v>34.49</v>
      </c>
    </row>
    <row r="12" spans="1:5" x14ac:dyDescent="0.2">
      <c r="A12" s="18" t="s">
        <v>50</v>
      </c>
      <c r="B12" s="19" t="s">
        <v>22</v>
      </c>
      <c r="C12" s="19">
        <v>42</v>
      </c>
      <c r="D12" s="19">
        <v>15901163.5</v>
      </c>
      <c r="E12" s="33">
        <v>35.51</v>
      </c>
    </row>
    <row r="13" spans="1:5" x14ac:dyDescent="0.2">
      <c r="A13" s="18" t="s">
        <v>50</v>
      </c>
      <c r="B13" s="19" t="s">
        <v>34</v>
      </c>
      <c r="C13" s="19">
        <v>33</v>
      </c>
      <c r="D13" s="19">
        <v>10003292.5</v>
      </c>
      <c r="E13" s="33">
        <v>34.369999999999997</v>
      </c>
    </row>
    <row r="14" spans="1:5" x14ac:dyDescent="0.2">
      <c r="A14" s="18" t="s">
        <v>23</v>
      </c>
      <c r="B14" s="19" t="s">
        <v>30</v>
      </c>
      <c r="C14" s="19">
        <v>28</v>
      </c>
      <c r="D14" s="19">
        <v>13651109</v>
      </c>
      <c r="E14" s="33">
        <v>34.700000000000003</v>
      </c>
    </row>
    <row r="15" spans="1:5" x14ac:dyDescent="0.2">
      <c r="A15" s="18" t="s">
        <v>23</v>
      </c>
      <c r="B15" s="19" t="s">
        <v>54</v>
      </c>
      <c r="C15" s="19">
        <v>30</v>
      </c>
      <c r="D15" s="19">
        <v>11265390</v>
      </c>
      <c r="E15" s="33">
        <v>36.08</v>
      </c>
    </row>
    <row r="16" spans="1:5" x14ac:dyDescent="0.2">
      <c r="A16" s="18" t="s">
        <v>23</v>
      </c>
      <c r="B16" s="19" t="s">
        <v>22</v>
      </c>
      <c r="C16" s="19">
        <v>28</v>
      </c>
      <c r="D16" s="19">
        <v>7694684.5</v>
      </c>
      <c r="E16" s="33">
        <v>33.979999999999997</v>
      </c>
    </row>
    <row r="17" spans="1:5" x14ac:dyDescent="0.2">
      <c r="A17" s="18" t="s">
        <v>23</v>
      </c>
      <c r="B17" s="19" t="s">
        <v>34</v>
      </c>
      <c r="C17" s="19">
        <v>20</v>
      </c>
      <c r="D17" s="19">
        <v>4180128.5</v>
      </c>
      <c r="E17" s="33">
        <v>34.869999999999997</v>
      </c>
    </row>
    <row r="18" spans="1:5" x14ac:dyDescent="0.2">
      <c r="A18" s="18" t="s">
        <v>44</v>
      </c>
      <c r="B18" s="19" t="s">
        <v>30</v>
      </c>
      <c r="C18" s="19">
        <v>27</v>
      </c>
      <c r="D18" s="19">
        <v>10347406.5</v>
      </c>
      <c r="E18" s="33">
        <v>34.94</v>
      </c>
    </row>
    <row r="19" spans="1:5" x14ac:dyDescent="0.2">
      <c r="A19" s="18" t="s">
        <v>44</v>
      </c>
      <c r="B19" s="19" t="s">
        <v>54</v>
      </c>
      <c r="C19" s="19">
        <v>22</v>
      </c>
      <c r="D19" s="19">
        <v>11883036.5</v>
      </c>
      <c r="E19" s="33">
        <v>34.619999999999997</v>
      </c>
    </row>
    <row r="20" spans="1:5" x14ac:dyDescent="0.2">
      <c r="A20" s="18" t="s">
        <v>44</v>
      </c>
      <c r="B20" s="19" t="s">
        <v>22</v>
      </c>
      <c r="C20" s="19">
        <v>29</v>
      </c>
      <c r="D20" s="19">
        <v>10063504</v>
      </c>
      <c r="E20" s="33">
        <v>34.65</v>
      </c>
    </row>
    <row r="21" spans="1:5" ht="16" thickBot="1" x14ac:dyDescent="0.25">
      <c r="A21" s="21" t="s">
        <v>44</v>
      </c>
      <c r="B21" s="22" t="s">
        <v>34</v>
      </c>
      <c r="C21" s="22">
        <v>15</v>
      </c>
      <c r="D21" s="22">
        <v>9215547</v>
      </c>
      <c r="E21" s="34">
        <v>33.58</v>
      </c>
    </row>
    <row r="22" spans="1:5" ht="16" thickTop="1" x14ac:dyDescent="0.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zoomScale="108" workbookViewId="0">
      <selection activeCell="R31" sqref="R31"/>
    </sheetView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Datos_Completos</vt:lpstr>
      <vt:lpstr>Raw_data</vt:lpstr>
      <vt:lpstr>Resumen Finanzas</vt:lpstr>
      <vt:lpstr>Resumen_Hospitales</vt:lpstr>
      <vt:lpstr>Resumen_Productos</vt:lpstr>
      <vt:lpstr>Resumen_Representantes_Q1</vt:lpstr>
      <vt:lpstr>Contratos_Inactivos</vt:lpstr>
      <vt:lpstr>Resumen_Region_Trimestre</vt:lpstr>
      <vt:lpstr>Dashboard</vt:lpstr>
      <vt:lpstr>REVENUE_PRIVADO</vt:lpstr>
      <vt:lpstr>REVENUE_PUBLICO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JARED ISAI VARGAS MORA</cp:lastModifiedBy>
  <dcterms:created xsi:type="dcterms:W3CDTF">2026-04-22T20:41:13Z</dcterms:created>
  <dcterms:modified xsi:type="dcterms:W3CDTF">2026-04-23T17:23:34Z</dcterms:modified>
</cp:coreProperties>
</file>